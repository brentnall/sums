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k2256741\OneDrive - King's College London\Documents\surrogates\analysis\nefeli\Code - Paper 2\data\"/>
    </mc:Choice>
  </mc:AlternateContent>
  <xr:revisionPtr revIDLastSave="0" documentId="13_ncr:1_{E7265BE2-B0A3-4798-9842-2687EB9800B8}" xr6:coauthVersionLast="47" xr6:coauthVersionMax="47" xr10:uidLastSave="{00000000-0000-0000-0000-000000000000}"/>
  <bookViews>
    <workbookView xWindow="-120" yWindow="-120" windowWidth="29040" windowHeight="15840" xr2:uid="{B80FAB21-1037-4D2C-9165-5024BFF61700}"/>
  </bookViews>
  <sheets>
    <sheet name="Master_RoB2" sheetId="4" r:id="rId1"/>
    <sheet name="RoB2 guidance" sheetId="12" r:id="rId2"/>
    <sheet name="Dropdown lists" sheetId="3" r:id="rId3"/>
  </sheets>
  <externalReferences>
    <externalReference r:id="rId4"/>
  </externalReferences>
  <definedNames>
    <definedName name="_xlnm._FilterDatabase" localSheetId="0" hidden="1">Master_RoB2!$A$2:$AR$60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6" i="4" l="1"/>
  <c r="AB5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tc={600F5BE8-7870-4912-A7AC-A6FDB5D93B84}</author>
    <author>tc={96544089-047D-4578-B86B-005F61678D27}</author>
    <author>tc={02979BF0-3568-4CC0-9AEC-0B2EAB932F14}</author>
    <author>tc={3053864B-5AD2-434E-989D-9EA87E59E301}</author>
    <author>tc={8133E744-546D-4B40-AA7A-2693C4019E37}</author>
    <author>tc={71E406C0-73CE-40D0-A6E0-1D182EDC961D}</author>
    <author>tc={09CFAAAA-C47A-4BF6-8258-A2EBE1A8E140}</author>
    <author>tc={7B8B8134-D665-4AA7-B439-66050D110359}</author>
    <author>tc={5026CA37-6AFF-4278-8BE1-1DC868190C3A}</author>
    <author>tc={98DA6E18-1DB0-4C12-AF00-DFCA367A72F4}</author>
    <author>tc={2D955117-4286-4D13-AA63-C81182F6F604}</author>
    <author>tc={9DE01691-504E-4E65-9BC8-81119A7156CD}</author>
    <author>tc={45D418C4-E975-4560-8FDE-0AB1AB2255A0}</author>
  </authors>
  <commentList>
    <comment ref="F21" authorId="0" shapeId="0" xr:uid="{600F5BE8-7870-4912-A7AC-A6FDB5D93B84}">
      <text>
        <t>[Threaded comment]
Your version of Excel allows you to read this threaded comment; however, any edits to it will get removed if the file is opened in a newer version of Excel. Learn more: https://go.microsoft.com/fwlink/?linkid=870924
Comment:
    We probably could use this definition as late-stage but would need clinical input to confirm?</t>
      </text>
    </comment>
    <comment ref="N21" authorId="1" shapeId="0" xr:uid="{96544089-047D-4578-B86B-005F61678D27}">
      <text>
        <t>[Threaded comment]
Your version of Excel allows you to read this threaded comment; however, any edits to it will get removed if the file is opened in a newer version of Excel. Learn more: https://go.microsoft.com/fwlink/?linkid=870924
Comment:
    In principle, this is correct but I have the same reservations about such reasoning as I did for the SOME trial - "high-risk" is a bit of a harsh judgment
Reply:
    Agree.</t>
      </text>
    </comment>
    <comment ref="AQ22" authorId="2" shapeId="0" xr:uid="{02979BF0-3568-4CC0-9AEC-0B2EAB932F14}">
      <text>
        <t xml:space="preserve">[Threaded comment]
Your version of Excel allows you to read this threaded comment; however, any edits to it will get removed if the file is opened in a newer version of Excel. Learn more: https://go.microsoft.com/fwlink/?linkid=870924
Comment:
    Do we need to consider that these "occult" cancers include various cancer types, so the relationship between surrogate and mortality might be not as straightforward and could also be different between the groups?
Reply:
    Reply MR: Good point. This is precisely what we are trying to determine with our project. Which category in the RoB would this apply to? It would be something that would leave us with an unclear risk, I reckon? </t>
      </text>
    </comment>
    <comment ref="G25" authorId="3" shapeId="0" xr:uid="{3053864B-5AD2-434E-989D-9EA87E59E301}">
      <text>
        <t>[Threaded comment]
Your version of Excel allows you to read this threaded comment; however, any edits to it will get removed if the file is opened in a newer version of Excel. Learn more: https://go.microsoft.com/fwlink/?linkid=870924
Comment:
    Median FU time to death =11.4 years?
Reply:
    Corrected.</t>
      </text>
    </comment>
    <comment ref="Y25" authorId="4" shapeId="0" xr:uid="{8133E744-546D-4B40-AA7A-2693C4019E37}">
      <text>
        <t>[Threaded comment]
Your version of Excel allows you to read this threaded comment; however, any edits to it will get removed if the file is opened in a newer version of Excel. Learn more: https://go.microsoft.com/fwlink/?linkid=870924
Comment:
    Absolute diff 0.3%?
Reply:
    Sorry, should have said &lt;5%.</t>
      </text>
    </comment>
    <comment ref="D27" authorId="5" shapeId="0" xr:uid="{71E406C0-73CE-40D0-A6E0-1D182EDC961D}">
      <text>
        <t>[Threaded comment]
Your version of Excel allows you to read this threaded comment; however, any edits to it will get removed if the file is opened in a newer version of Excel. Learn more: https://go.microsoft.com/fwlink/?linkid=870924
Comment:
    1997 or 1998?
Reply:
    1997.</t>
      </text>
    </comment>
    <comment ref="G27" authorId="6" shapeId="0" xr:uid="{09CFAAAA-C47A-4BF6-8258-A2EBE1A8E140}">
      <text>
        <t>[Threaded comment]
Your version of Excel allows you to read this threaded comment; however, any edits to it will get removed if the file is opened in a newer version of Excel. Learn more: https://go.microsoft.com/fwlink/?linkid=870924
Comment:
    1997 or 1998?
Reply:
    1997.</t>
      </text>
    </comment>
    <comment ref="Y30" authorId="7" shapeId="0" xr:uid="{7B8B8134-D665-4AA7-B439-66050D110359}">
      <text>
        <t>[Threaded comment]
Your version of Excel allows you to read this threaded comment; however, any edits to it will get removed if the file is opened in a newer version of Excel. Learn more: https://go.microsoft.com/fwlink/?linkid=870924
Comment:
    Absolute diff 0.3%?
Reply:
    Sorry, should have said &lt;5%.</t>
      </text>
    </comment>
    <comment ref="AP31" authorId="8" shapeId="0" xr:uid="{5026CA37-6AFF-4278-8BE1-1DC868190C3A}">
      <text>
        <t>[Threaded comment]
Your version of Excel allows you to read this threaded comment; however, any edits to it will get removed if the file is opened in a newer version of Excel. Learn more: https://go.microsoft.com/fwlink/?linkid=870924
Comment:
    Or "NA" as we don't have a late-stage surrogate???</t>
      </text>
    </comment>
    <comment ref="D36" authorId="9" shapeId="0" xr:uid="{98DA6E18-1DB0-4C12-AF00-DFCA367A72F4}">
      <text>
        <t>[Threaded comment]
Your version of Excel allows you to read this threaded comment; however, any edits to it will get removed if the file is opened in a newer version of Excel. Learn more: https://go.microsoft.com/fwlink/?linkid=870924
Comment:
    I don't think the surrogate outcome (you chose 10 years of follow-up) should be assessed AFTER the mortality outcome (you chose 7 years of follow-up). Think, we should use the 7-year follow-up data for both outcomes as this avoids that the follow-up time is after 1988 when a population screening programme had been introduced in Scotland.</t>
      </text>
    </comment>
    <comment ref="AC37" authorId="10" shapeId="0" xr:uid="{2D955117-4286-4D13-AA63-C81182F6F604}">
      <text>
        <t>[Threaded comment]
Your version of Excel allows you to read this threaded comment; however, any edits to it will get removed if the file is opened in a newer version of Excel. Learn more: https://go.microsoft.com/fwlink/?linkid=870924
Comment:
    Would also be okay to rate as 'No'.</t>
      </text>
    </comment>
    <comment ref="N39" authorId="11" shapeId="0" xr:uid="{9DE01691-504E-4E65-9BC8-81119A7156CD}">
      <text>
        <t>[Threaded comment]
Your version of Excel allows you to read this threaded comment; however, any edits to it will get removed if the file is opened in a newer version of Excel. Learn more: https://go.microsoft.com/fwlink/?linkid=870924
Comment:
    Not sure as another publication stated "A similar dissimilarity in treatment modalities was observed previously in a combined analysis from the eight centers of the ERSPC trial: radical prostatectomy and active surveillance were more often chosen in the SA and endocrine therapy in the CA."
Reply:
    Agreed on "Unclear".</t>
      </text>
    </comment>
    <comment ref="G52" authorId="12" shapeId="0" xr:uid="{45D418C4-E975-4560-8FDE-0AB1AB2255A0}">
      <text>
        <t>[Threaded comment]
Your version of Excel allows you to read this threaded comment; however, any edits to it will get removed if the file is opened in a newer version of Excel. Learn more: https://go.microsoft.com/fwlink/?linkid=870924
Comment:
    Changed so that we have the same subgroup for surrogate and mortality outcomes.</t>
      </text>
    </comment>
  </commentList>
</comments>
</file>

<file path=xl/sharedStrings.xml><?xml version="1.0" encoding="utf-8"?>
<sst xmlns="http://schemas.openxmlformats.org/spreadsheetml/2006/main" count="2880" uniqueCount="1163">
  <si>
    <t>Cancer type</t>
  </si>
  <si>
    <t>Trial acronym</t>
  </si>
  <si>
    <t>Screening test</t>
  </si>
  <si>
    <t>Assessor</t>
  </si>
  <si>
    <t>Agreed</t>
  </si>
  <si>
    <t>Comment for 2.1</t>
  </si>
  <si>
    <t>Presence of exit screen</t>
  </si>
  <si>
    <t>Comparison</t>
  </si>
  <si>
    <t>Other</t>
  </si>
  <si>
    <t>Unclear</t>
  </si>
  <si>
    <t>Aggregation unit of analysis</t>
  </si>
  <si>
    <t>Whole trial</t>
  </si>
  <si>
    <t>Age group</t>
  </si>
  <si>
    <t>Sex</t>
  </si>
  <si>
    <t>Mortality, endpoint</t>
  </si>
  <si>
    <t>Type of indicator</t>
  </si>
  <si>
    <t>All-cause</t>
  </si>
  <si>
    <t>Cancer-specific</t>
  </si>
  <si>
    <t>Numerical stage</t>
  </si>
  <si>
    <t>TNM stage</t>
  </si>
  <si>
    <t>Grade</t>
  </si>
  <si>
    <t>Dukes' stage</t>
  </si>
  <si>
    <t>Gleason score</t>
  </si>
  <si>
    <t>Risk score</t>
  </si>
  <si>
    <t>Size</t>
  </si>
  <si>
    <t>Invasiveness</t>
  </si>
  <si>
    <t>T stage</t>
  </si>
  <si>
    <t>UK Age</t>
  </si>
  <si>
    <t>Breast</t>
  </si>
  <si>
    <t>Bowel</t>
  </si>
  <si>
    <t>Cervical</t>
  </si>
  <si>
    <t>Liver</t>
  </si>
  <si>
    <t>Lung</t>
  </si>
  <si>
    <t>Nasopharyngeal</t>
  </si>
  <si>
    <t>Oral</t>
  </si>
  <si>
    <t>Ovarian</t>
  </si>
  <si>
    <t>Prostate</t>
  </si>
  <si>
    <t>Prostate, lung, bowel, ovarian</t>
  </si>
  <si>
    <t>Breast, cervical</t>
  </si>
  <si>
    <t>Funen</t>
  </si>
  <si>
    <t>Finnish RHS CRC</t>
  </si>
  <si>
    <t>Burgundy</t>
  </si>
  <si>
    <t>SCORE</t>
  </si>
  <si>
    <t>NORCCAP</t>
  </si>
  <si>
    <t>Telemark Polyp I</t>
  </si>
  <si>
    <t>Nottingham</t>
  </si>
  <si>
    <t>UKFSST</t>
  </si>
  <si>
    <t xml:space="preserve">Jiashan County </t>
  </si>
  <si>
    <t>Minnesota</t>
  </si>
  <si>
    <t>CNBSS</t>
  </si>
  <si>
    <t>Tivandrum Breast</t>
  </si>
  <si>
    <t>Gothenburg Breast</t>
  </si>
  <si>
    <t>Gothenburg CRC</t>
  </si>
  <si>
    <t>Malmo</t>
  </si>
  <si>
    <t>Stockholm Breast</t>
  </si>
  <si>
    <t>Two-County</t>
  </si>
  <si>
    <t>Edinburgh</t>
  </si>
  <si>
    <t>HIP</t>
  </si>
  <si>
    <t>Osmanabad/Maharashtra</t>
  </si>
  <si>
    <t>Tamil Nadu/Dindigul</t>
  </si>
  <si>
    <t>Finnish RHS Cervix</t>
  </si>
  <si>
    <t>Qidong Liver</t>
  </si>
  <si>
    <t>Shanghai Liver</t>
  </si>
  <si>
    <t>Shanghai Breast</t>
  </si>
  <si>
    <t>NELSON</t>
  </si>
  <si>
    <t>Czech study</t>
  </si>
  <si>
    <t>DLCST</t>
  </si>
  <si>
    <t>LUSI</t>
  </si>
  <si>
    <t>DANTE</t>
  </si>
  <si>
    <t>ITALUNG</t>
  </si>
  <si>
    <t>MILD</t>
  </si>
  <si>
    <t>UKLS</t>
  </si>
  <si>
    <t>Johns Hopkins</t>
  </si>
  <si>
    <t>Lung Screening Study (LSS)</t>
  </si>
  <si>
    <t>Mayo Lung Project</t>
  </si>
  <si>
    <t>Memorial Sloan-Kettering</t>
  </si>
  <si>
    <t>NLST</t>
  </si>
  <si>
    <t>PRO-NPC-001</t>
  </si>
  <si>
    <t>Tivandrum Oral</t>
  </si>
  <si>
    <t>UKCTOCS</t>
  </si>
  <si>
    <t>UK pilot Ovarian</t>
  </si>
  <si>
    <t>Quebec Prostate</t>
  </si>
  <si>
    <t>ERSPC</t>
  </si>
  <si>
    <t>FinRSPC</t>
  </si>
  <si>
    <t>Goteborg Prostate</t>
  </si>
  <si>
    <t>Norrkoping</t>
  </si>
  <si>
    <t>UK CAP</t>
  </si>
  <si>
    <t>SOMIT</t>
  </si>
  <si>
    <t>SOME</t>
  </si>
  <si>
    <t>PLCO</t>
  </si>
  <si>
    <t>Mumbai Breast Cervix</t>
  </si>
  <si>
    <t>Occult cancer</t>
  </si>
  <si>
    <t>Mammography</t>
  </si>
  <si>
    <t>NA</t>
  </si>
  <si>
    <t>yes</t>
  </si>
  <si>
    <t>no</t>
  </si>
  <si>
    <t>Late stage cancer</t>
  </si>
  <si>
    <t>Early stage cancer</t>
  </si>
  <si>
    <t>Partly</t>
  </si>
  <si>
    <t>Setting</t>
  </si>
  <si>
    <t>Surrogate</t>
  </si>
  <si>
    <t>Late' or 'early' stage proxy</t>
  </si>
  <si>
    <t>Yes</t>
  </si>
  <si>
    <t>No</t>
  </si>
  <si>
    <t>Node status</t>
  </si>
  <si>
    <t>Signalling question</t>
  </si>
  <si>
    <t>Guidance - Cluster-randomised trials</t>
  </si>
  <si>
    <t>Guidance - Individually randomised trials</t>
  </si>
  <si>
    <t>3 - Risk of bias judgement</t>
  </si>
  <si>
    <t>2 - Risk of bias judgement</t>
  </si>
  <si>
    <t>4 - Risk of bias judgement</t>
  </si>
  <si>
    <t>The issues here are broadly as for individually-randomized trials. In cluster-randomized trials there may be particular complexities when clusters merge, split, or disappear.</t>
  </si>
  <si>
    <t>Overall rating - Risk of bias judgement</t>
  </si>
  <si>
    <t>Matejka</t>
  </si>
  <si>
    <t>Julia</t>
  </si>
  <si>
    <t>Nefeli</t>
  </si>
  <si>
    <t>Karoline</t>
  </si>
  <si>
    <t>Chris</t>
  </si>
  <si>
    <t>FOBT</t>
  </si>
  <si>
    <t>Comparator test</t>
  </si>
  <si>
    <t>Usual care</t>
  </si>
  <si>
    <t>EBV serology</t>
  </si>
  <si>
    <t>Medical examination</t>
  </si>
  <si>
    <t>Automated cytology</t>
  </si>
  <si>
    <t>Conventional cytology</t>
  </si>
  <si>
    <t>Clinical breast examination</t>
  </si>
  <si>
    <t>Mammography + breast examination</t>
  </si>
  <si>
    <t>Usual care after initial breast examination</t>
  </si>
  <si>
    <t>Active surveillance</t>
  </si>
  <si>
    <t>Flexible sigmoidoscopy</t>
  </si>
  <si>
    <t>Colonoscopy</t>
  </si>
  <si>
    <t>VIA (Cervix)</t>
  </si>
  <si>
    <t>VIA, cytology or HPV</t>
  </si>
  <si>
    <t>Blood PSA</t>
  </si>
  <si>
    <t>Blood PSA + DRE</t>
  </si>
  <si>
    <t>CA125 + transvaginal US</t>
  </si>
  <si>
    <t>AFP + US</t>
  </si>
  <si>
    <t>AFP</t>
  </si>
  <si>
    <t>LDCT (Chest)</t>
  </si>
  <si>
    <t>Torso CT + FOBT</t>
  </si>
  <si>
    <t>Any test but no torso CT</t>
  </si>
  <si>
    <t>Visual inspection (oral)</t>
  </si>
  <si>
    <t>CA125</t>
  </si>
  <si>
    <t>Transvaginal US</t>
  </si>
  <si>
    <t>Indiviual randomisation</t>
  </si>
  <si>
    <t>Cluster randomisation</t>
  </si>
  <si>
    <t>Randomisation design</t>
  </si>
  <si>
    <t>Recruitment</t>
  </si>
  <si>
    <t>Volunteers</t>
  </si>
  <si>
    <t>Patients</t>
  </si>
  <si>
    <t>Survey</t>
  </si>
  <si>
    <t>Population-based</t>
  </si>
  <si>
    <t>Registers</t>
  </si>
  <si>
    <t>Random sequence generation</t>
  </si>
  <si>
    <t>True randomisation - individual level</t>
  </si>
  <si>
    <t>Pseudo randomisation</t>
  </si>
  <si>
    <t>Randomisation timing</t>
  </si>
  <si>
    <t>Before consent</t>
  </si>
  <si>
    <t>After consent</t>
  </si>
  <si>
    <t>Allocation concealment</t>
  </si>
  <si>
    <t>Masked</t>
  </si>
  <si>
    <t>Not masked</t>
  </si>
  <si>
    <t>Trial embedded in existing programme</t>
  </si>
  <si>
    <t>Trial to establish a new screening programme</t>
  </si>
  <si>
    <t>Gender</t>
  </si>
  <si>
    <t>Men</t>
  </si>
  <si>
    <t>Women</t>
  </si>
  <si>
    <t>Men + women</t>
  </si>
  <si>
    <t>Type of population</t>
  </si>
  <si>
    <t>General</t>
  </si>
  <si>
    <t>High-risk</t>
  </si>
  <si>
    <t>General + high-risk</t>
  </si>
  <si>
    <t>Prevention or early detection</t>
  </si>
  <si>
    <t>Prevention</t>
  </si>
  <si>
    <t>Early detection</t>
  </si>
  <si>
    <t>Routes of delivery</t>
  </si>
  <si>
    <t>Healthcare facility</t>
  </si>
  <si>
    <t>At home</t>
  </si>
  <si>
    <t>Another screening test</t>
  </si>
  <si>
    <t>Another screening test or usual care</t>
  </si>
  <si>
    <t>Screening vs no screening</t>
  </si>
  <si>
    <t>Screening vs other type of screening</t>
  </si>
  <si>
    <t>Screening arm only</t>
  </si>
  <si>
    <t>Both combined</t>
  </si>
  <si>
    <t>unclear</t>
  </si>
  <si>
    <t>Not applicable</t>
  </si>
  <si>
    <t>y/n/unclear/NA</t>
  </si>
  <si>
    <t>2. Predicted mortality</t>
  </si>
  <si>
    <t>3. % of target cancer diagnosed at late stage</t>
  </si>
  <si>
    <t>5. % of target cancers that are screen-detected</t>
  </si>
  <si>
    <t>6. % of high-grade target cancers that are screen-detected</t>
  </si>
  <si>
    <t>7. Diagnostic yield at screening</t>
  </si>
  <si>
    <t>1./4. Absolute incidence of late / early stage cancer</t>
  </si>
  <si>
    <t>Beth</t>
  </si>
  <si>
    <t>RoB rating</t>
  </si>
  <si>
    <t>Low risk</t>
  </si>
  <si>
    <t>High risk</t>
  </si>
  <si>
    <t>5 - Risk of bias judgement</t>
  </si>
  <si>
    <t>2. Differences in cancer treatment between arms</t>
  </si>
  <si>
    <t>As for individually randomised trials.</t>
  </si>
  <si>
    <r>
      <t xml:space="preserve">5. Other limitations that can affect the relationship of the surrogate and mortality
</t>
    </r>
    <r>
      <rPr>
        <i/>
        <sz val="10"/>
        <color theme="1"/>
        <rFont val="Calibri"/>
        <family val="2"/>
        <scheme val="minor"/>
      </rPr>
      <t>(Rate for the "best" late-stage definition and the "main" cancer-specific mortality timepoint, respectively.)</t>
    </r>
  </si>
  <si>
    <t>Assessed outcomes</t>
  </si>
  <si>
    <t>Risk of bias judgement</t>
  </si>
  <si>
    <r>
      <t xml:space="preserve">4b. Outcome measurement - Mortality
</t>
    </r>
    <r>
      <rPr>
        <i/>
        <sz val="10"/>
        <color theme="1"/>
        <rFont val="Calibri"/>
        <family val="2"/>
        <scheme val="minor"/>
      </rPr>
      <t>(Rate for the "main" cancer-specific mortality timepoint)</t>
    </r>
  </si>
  <si>
    <r>
      <t>Surrogate outcome assessed</t>
    </r>
    <r>
      <rPr>
        <i/>
        <sz val="10"/>
        <color theme="1"/>
        <rFont val="Calibri"/>
        <family val="2"/>
        <scheme val="minor"/>
      </rPr>
      <t xml:space="preserve"> 
(Use "best" late-stage definition available)</t>
    </r>
    <r>
      <rPr>
        <b/>
        <sz val="10"/>
        <color theme="1"/>
        <rFont val="Calibri"/>
        <family val="2"/>
        <scheme val="minor"/>
      </rPr>
      <t xml:space="preserve">
</t>
    </r>
  </si>
  <si>
    <r>
      <t>Mortality outcome assessed</t>
    </r>
    <r>
      <rPr>
        <i/>
        <sz val="10"/>
        <color theme="1"/>
        <rFont val="Calibri"/>
        <family val="2"/>
        <scheme val="minor"/>
      </rPr>
      <t xml:space="preserve"> 
(Use "main" timepoint for cancer-specific mortality)</t>
    </r>
    <r>
      <rPr>
        <b/>
        <sz val="10"/>
        <color theme="1"/>
        <rFont val="Calibri"/>
        <family val="2"/>
        <scheme val="minor"/>
      </rPr>
      <t xml:space="preserve">
</t>
    </r>
  </si>
  <si>
    <r>
      <t xml:space="preserve">Trial acronym
</t>
    </r>
    <r>
      <rPr>
        <i/>
        <sz val="10"/>
        <color theme="1"/>
        <rFont val="Calibri"/>
        <family val="2"/>
        <scheme val="minor"/>
      </rPr>
      <t>(Dropdown)</t>
    </r>
  </si>
  <si>
    <r>
      <t xml:space="preserve">Assessor
</t>
    </r>
    <r>
      <rPr>
        <i/>
        <sz val="10"/>
        <color theme="1"/>
        <rFont val="Calibri"/>
        <family val="2"/>
        <scheme val="minor"/>
      </rPr>
      <t>(Dropdown)</t>
    </r>
  </si>
  <si>
    <t>Trial and assessor info</t>
  </si>
  <si>
    <r>
      <t xml:space="preserve">Source of surrogate outcome
</t>
    </r>
    <r>
      <rPr>
        <i/>
        <sz val="10"/>
        <color theme="1"/>
        <rFont val="Calibri"/>
        <family val="2"/>
        <scheme val="minor"/>
      </rPr>
      <t>(Give author name, year and Endnote #)</t>
    </r>
  </si>
  <si>
    <r>
      <t xml:space="preserve">Source of mortality outcome
</t>
    </r>
    <r>
      <rPr>
        <i/>
        <sz val="10"/>
        <color theme="1"/>
        <rFont val="Calibri"/>
        <family val="2"/>
        <scheme val="minor"/>
      </rPr>
      <t>(Give author name, year and Endnote #)</t>
    </r>
  </si>
  <si>
    <r>
      <t xml:space="preserve">4a. Outcome measurement - Surrogate
</t>
    </r>
    <r>
      <rPr>
        <i/>
        <sz val="10"/>
        <color theme="1"/>
        <rFont val="Calibri"/>
        <family val="2"/>
        <scheme val="minor"/>
      </rPr>
      <t>(Rate for the "best" late-stage definition.)</t>
    </r>
  </si>
  <si>
    <t>4a.1 Surrogate - 
Was the source and method of allocating "stage" valid and reliable?</t>
  </si>
  <si>
    <t>4b.1 Mortality - 
Was the source and method of allocating cause of death valid and reliable?</t>
  </si>
  <si>
    <t>4b.1 Mortality -
Was the source and method of allocating cause of death valid and reliable?</t>
  </si>
  <si>
    <t xml:space="preserve">Reasons for choosing "best" late-stage definition
</t>
  </si>
  <si>
    <r>
      <t xml:space="preserve">Reasons for choosing mortality timepoint
</t>
    </r>
    <r>
      <rPr>
        <i/>
        <sz val="10"/>
        <color theme="1"/>
        <rFont val="Calibri"/>
        <family val="2"/>
        <scheme val="minor"/>
      </rPr>
      <t>(e.g. SAP, trial protocol, or why deviating from SAP)</t>
    </r>
  </si>
  <si>
    <t>Consider available information on the treatment offered to study participants (depending on cancer stage).
Answer ‘Yes' if the offered treatment was different enough between trial arms to raise concerns. 
Answer ‘No’ if treatment options were similar enough between trial arms. 
Answer 'No information' if not enough information available to allow judgement.</t>
  </si>
  <si>
    <t>Rate for the "best" late-stage definition available.
Comparable methods of outcome measurement (data collection) involve the same measurement methods and thresholds, used at comparable time points. Differences between intervention groups may arise because of ‘diagnostic detection bias’ in the context of passive collection of outcome data, or if an intervention involves additional visits to a healthcare provider, leading to additional opportunities for outcome events to be identified.</t>
  </si>
  <si>
    <t>Rate for the "main" cancer-specific mortality time point.
Comparable methods of outcome measurement (data collection) involve the same measurement methods and thresholds, used at comparable time points. Differences between intervention groups may arise because of ‘diagnostic detection bias’ in the context of passive collection of outcome data, or if an intervention involves additional visits to a healthcare provider, leading to additional opportunities for outcome events to be identified.</t>
  </si>
  <si>
    <r>
      <t xml:space="preserve">Rate for the "best" late-stage definition available.
Answer 'Yes' if there was an internal source with </t>
    </r>
    <r>
      <rPr>
        <u/>
        <sz val="10"/>
        <color theme="1"/>
        <rFont val="Calibri"/>
        <family val="2"/>
        <scheme val="minor"/>
      </rPr>
      <t>blinded</t>
    </r>
    <r>
      <rPr>
        <sz val="10"/>
        <color theme="1"/>
        <rFont val="Calibri"/>
        <family val="2"/>
        <scheme val="minor"/>
      </rPr>
      <t xml:space="preserve"> assessment.
Answer 'No' if there was an internal source with </t>
    </r>
    <r>
      <rPr>
        <u/>
        <sz val="10"/>
        <color theme="1"/>
        <rFont val="Calibri"/>
        <family val="2"/>
        <scheme val="minor"/>
      </rPr>
      <t>unblinded</t>
    </r>
    <r>
      <rPr>
        <sz val="10"/>
        <color theme="1"/>
        <rFont val="Calibri"/>
        <family val="2"/>
        <scheme val="minor"/>
      </rPr>
      <t xml:space="preserve"> assessment.
Answer 'No information' if routine registry data were used, if there was an internal source and it was unclear of the outcome assessor(s) were blinded or if there was not enough information available to allow judgement.</t>
    </r>
  </si>
  <si>
    <t>Adam</t>
  </si>
  <si>
    <t>Sian</t>
  </si>
  <si>
    <t xml:space="preserve">Note that differences that are compatible with chance do not lead to a risk of bias. A small number of differences identified as ‘statistically significant’ at the conventional 0.05 threshold should usually be considered to be compatible with chance.
Answer ‘No’ if no imbalances are apparent or if any observed imbalances are compatible with chance.
Answer ‘Yes’ if there are imbalances that indicate problems with the randomization process, including:
(1) substantial differences between intervention group sizes, compared with the intended allocation ratio;
or
(2) a substantial excess in statistically significant differences in baseline characteristics between intervention groups, beyond that expected by chance; or (3) imbalance in one or more key prognostic factors, or baseline measures of outcome variables, that is very unlikely to be due to chance and for which the between-group difference is big enough to result in bias in the intervention effect estimate.
Also answer ‘Yes’ if there are other reasons to suspect that the randomization process was problematic:
(4) excessive similarity in baseline characteristics that is not compatible with chance.
Answer ‘No information’ when there is no useful baseline information available (e.g. abstracts, or studies that reported only baseline characteristics of participants in the final analysis).
</t>
  </si>
  <si>
    <r>
      <t xml:space="preserve">Rate for the "main" cancer-specific mortality time point.
Answer 'Yes' if there was an internal source with </t>
    </r>
    <r>
      <rPr>
        <u/>
        <sz val="10"/>
        <color theme="1"/>
        <rFont val="Calibri"/>
        <family val="2"/>
        <scheme val="minor"/>
      </rPr>
      <t>blinded</t>
    </r>
    <r>
      <rPr>
        <sz val="10"/>
        <color theme="1"/>
        <rFont val="Calibri"/>
        <family val="2"/>
        <scheme val="minor"/>
      </rPr>
      <t xml:space="preserve"> assessment.
Answer 'No' if there was an internal source with </t>
    </r>
    <r>
      <rPr>
        <u/>
        <sz val="10"/>
        <color theme="1"/>
        <rFont val="Calibri"/>
        <family val="2"/>
        <scheme val="minor"/>
      </rPr>
      <t>unblinded</t>
    </r>
    <r>
      <rPr>
        <sz val="10"/>
        <color theme="1"/>
        <rFont val="Calibri"/>
        <family val="2"/>
        <scheme val="minor"/>
      </rPr>
      <t xml:space="preserve"> assessment.
Answer 'No information' if routine registry data were used, if there was an internal source and it was unclear of the outcome assessor(s) were blinded or if there was no information to allow judgement.</t>
    </r>
  </si>
  <si>
    <t xml:space="preserve">1.1 Did baseline differences between intervention groups suggest a problem with the randomisation process? </t>
  </si>
  <si>
    <t>Comment for 1.1</t>
  </si>
  <si>
    <t>1 - Risk of bias jugdement</t>
  </si>
  <si>
    <t>1.1 Did baseline differences between intervention groups suggest a problem with the randomisation process?</t>
  </si>
  <si>
    <r>
      <t xml:space="preserve">Note that differences that are compatible with chance do not lead to a risk of bias.
Answer ‘No’ if any observed imbalances are compatible with chance or likely to be because of identification/recruitment bias, which are addressed in domain </t>
    </r>
    <r>
      <rPr>
        <b/>
        <sz val="10"/>
        <color theme="1"/>
        <rFont val="Calibri"/>
        <family val="2"/>
        <scheme val="minor"/>
      </rPr>
      <t>1b</t>
    </r>
    <r>
      <rPr>
        <sz val="10"/>
        <color theme="1"/>
        <rFont val="Calibri"/>
        <family val="2"/>
        <scheme val="minor"/>
      </rPr>
      <t xml:space="preserve">.
Imbalances in numbers of clusters or in stratification/ matching/ minimization factors can provide evidence of problems with the randomization process, but such problems are likely to be unusual in cluster-randomized trials. Due to the small numbers of clusters randomized in most cluster-randomized trials, chance imbalances in either cluster or participant characteristics, which can be substantial, are more common than in individually-randomized trials.
Answer ‘Yes’ if there are imbalances that indicate problems with the randomization process, including:
(1) substantial differences between numbers of clusters between intervention arms, compared with the intended allocation ratio;
or
(2) a substantial excess in statistically significant differences in baseline cluster characteristics between intervention groups, beyond that expected by chance; or
(3) imbalance in one or more baseline measures of outcome variables, that is very unlikely to be due to chance and for which the between-group difference is big enough to result in bias in the intervention effect estimate.
Also answer ‘Yes’ if there are other reasons to suspect that the randomization process was problematic:
(4) excessive similarity in baseline characteristics that is not compatible with chance.
Answer ‘No information’ when there is no useful baseline information available (e.g. abstracts, or studies that reported only baseline characteristics of participants in the final analysis).
</t>
    </r>
  </si>
  <si>
    <t>Unclear risk</t>
  </si>
  <si>
    <t>1 - Risk of bias judgement</t>
  </si>
  <si>
    <t>2.1 Was the offered treatment and/or adherence to treatment more different between trial arms than might be expected (within the different stages)?</t>
  </si>
  <si>
    <r>
      <t xml:space="preserve">3a.2 Surrogate - 
Is there a large difference in missingness </t>
    </r>
    <r>
      <rPr>
        <b/>
        <u/>
        <sz val="10"/>
        <color theme="1"/>
        <rFont val="Calibri"/>
        <family val="2"/>
        <scheme val="minor"/>
      </rPr>
      <t>between trial arms</t>
    </r>
    <r>
      <rPr>
        <b/>
        <sz val="10"/>
        <color theme="1"/>
        <rFont val="Calibri"/>
        <family val="2"/>
        <scheme val="minor"/>
      </rPr>
      <t xml:space="preserve"> (≥5% absolute difference)? </t>
    </r>
  </si>
  <si>
    <r>
      <t xml:space="preserve">2.1 Was the offered treatment and/or adherence to treatment more different </t>
    </r>
    <r>
      <rPr>
        <b/>
        <u/>
        <sz val="10"/>
        <color theme="1"/>
        <rFont val="Calibri"/>
        <family val="2"/>
        <scheme val="minor"/>
      </rPr>
      <t>between trial arms</t>
    </r>
    <r>
      <rPr>
        <b/>
        <sz val="10"/>
        <color theme="1"/>
        <rFont val="Calibri"/>
        <family val="2"/>
        <scheme val="minor"/>
      </rPr>
      <t xml:space="preserve"> than might be expected (within the different stages)?</t>
    </r>
  </si>
  <si>
    <r>
      <t xml:space="preserve">3b.2 Mortality - 
Is there a large difference in missingness </t>
    </r>
    <r>
      <rPr>
        <b/>
        <u/>
        <sz val="10"/>
        <color theme="1"/>
        <rFont val="Calibri"/>
        <family val="2"/>
        <scheme val="minor"/>
      </rPr>
      <t>between trial arms</t>
    </r>
    <r>
      <rPr>
        <b/>
        <sz val="10"/>
        <color theme="1"/>
        <rFont val="Calibri"/>
        <family val="2"/>
        <scheme val="minor"/>
      </rPr>
      <t xml:space="preserve"> (≥5% absolute difference)? </t>
    </r>
  </si>
  <si>
    <r>
      <t xml:space="preserve">3c.1 Is there a large difference in missingness </t>
    </r>
    <r>
      <rPr>
        <b/>
        <u/>
        <sz val="10"/>
        <color theme="1"/>
        <rFont val="Calibri"/>
        <family val="2"/>
        <scheme val="minor"/>
      </rPr>
      <t>between surrogate and mortality outcomes</t>
    </r>
    <r>
      <rPr>
        <b/>
        <sz val="10"/>
        <color theme="1"/>
        <rFont val="Calibri"/>
        <family val="2"/>
        <scheme val="minor"/>
      </rPr>
      <t xml:space="preserve"> </t>
    </r>
    <r>
      <rPr>
        <b/>
        <sz val="10"/>
        <color theme="1"/>
        <rFont val="Calibri"/>
        <family val="2"/>
      </rPr>
      <t>(≥5% absolute difference)</t>
    </r>
    <r>
      <rPr>
        <b/>
        <sz val="10"/>
        <color theme="1"/>
        <rFont val="Calibri"/>
        <family val="2"/>
        <scheme val="minor"/>
      </rPr>
      <t>?</t>
    </r>
  </si>
  <si>
    <t xml:space="preserve">3 - Risk of bias judgement
</t>
  </si>
  <si>
    <r>
      <rPr>
        <u/>
        <sz val="10"/>
        <color theme="1"/>
        <rFont val="Calibri"/>
        <family val="2"/>
        <scheme val="minor"/>
      </rPr>
      <t xml:space="preserve">Low risk: </t>
    </r>
    <r>
      <rPr>
        <sz val="10"/>
        <color theme="1"/>
        <rFont val="Calibri"/>
        <family val="2"/>
        <scheme val="minor"/>
      </rPr>
      <t xml:space="preserve">'No' for all signalling questions.
</t>
    </r>
    <r>
      <rPr>
        <u/>
        <sz val="10"/>
        <color theme="1"/>
        <rFont val="Calibri"/>
        <family val="2"/>
        <scheme val="minor"/>
      </rPr>
      <t>Unclear risk:</t>
    </r>
    <r>
      <rPr>
        <sz val="10"/>
        <color theme="1"/>
        <rFont val="Calibri"/>
        <family val="2"/>
        <scheme val="minor"/>
      </rPr>
      <t xml:space="preserve"> At least 1 signalling question answered with 'No information', but no signalling question answered with 'Yes'.
</t>
    </r>
    <r>
      <rPr>
        <u/>
        <sz val="10"/>
        <color theme="1"/>
        <rFont val="Calibri"/>
        <family val="2"/>
        <scheme val="minor"/>
      </rPr>
      <t xml:space="preserve">High risk: </t>
    </r>
    <r>
      <rPr>
        <sz val="10"/>
        <color theme="1"/>
        <rFont val="Calibri"/>
        <family val="2"/>
        <scheme val="minor"/>
      </rPr>
      <t>At least one signalling question answered with 'Yes'.</t>
    </r>
  </si>
  <si>
    <t xml:space="preserve">1. Randomisation process </t>
  </si>
  <si>
    <r>
      <t xml:space="preserve">3a.2 Surrogate -
Is there a large difference in missingness </t>
    </r>
    <r>
      <rPr>
        <b/>
        <u/>
        <sz val="10"/>
        <color theme="1"/>
        <rFont val="Calibri"/>
        <family val="2"/>
        <scheme val="minor"/>
      </rPr>
      <t>between trial arms</t>
    </r>
    <r>
      <rPr>
        <b/>
        <sz val="10"/>
        <color theme="1"/>
        <rFont val="Calibri"/>
        <family val="2"/>
        <scheme val="minor"/>
      </rPr>
      <t xml:space="preserve"> (absolute difference ≥5%)?</t>
    </r>
  </si>
  <si>
    <r>
      <t xml:space="preserve">3b.2 Mortality -
Is there a large difference in missingness </t>
    </r>
    <r>
      <rPr>
        <b/>
        <u/>
        <sz val="10"/>
        <color theme="1"/>
        <rFont val="Calibri"/>
        <family val="2"/>
        <scheme val="minor"/>
      </rPr>
      <t>between trial arms</t>
    </r>
    <r>
      <rPr>
        <b/>
        <sz val="10"/>
        <color theme="1"/>
        <rFont val="Calibri"/>
        <family val="2"/>
        <scheme val="minor"/>
      </rPr>
      <t xml:space="preserve"> (absolute difference ≥5%)?</t>
    </r>
  </si>
  <si>
    <r>
      <t xml:space="preserve">3b.1 Mortality - 
Is there high missingness </t>
    </r>
    <r>
      <rPr>
        <b/>
        <u/>
        <sz val="10"/>
        <color theme="1"/>
        <rFont val="Calibri"/>
        <family val="2"/>
        <scheme val="minor"/>
      </rPr>
      <t>overall</t>
    </r>
    <r>
      <rPr>
        <b/>
        <sz val="10"/>
        <color theme="1"/>
        <rFont val="Calibri"/>
        <family val="2"/>
        <scheme val="minor"/>
      </rPr>
      <t xml:space="preserve"> (≥10%)?</t>
    </r>
  </si>
  <si>
    <r>
      <t xml:space="preserve">3a.1 Surrogate - 
Is there high missingness </t>
    </r>
    <r>
      <rPr>
        <b/>
        <u/>
        <sz val="10"/>
        <color theme="1"/>
        <rFont val="Calibri"/>
        <family val="2"/>
        <scheme val="minor"/>
      </rPr>
      <t>overall</t>
    </r>
    <r>
      <rPr>
        <b/>
        <sz val="10"/>
        <color theme="1"/>
        <rFont val="Calibri"/>
        <family val="2"/>
        <scheme val="minor"/>
      </rPr>
      <t xml:space="preserve"> (≥10%)?</t>
    </r>
  </si>
  <si>
    <r>
      <t xml:space="preserve">3a.1 Surrogate - 
Is there high missingness </t>
    </r>
    <r>
      <rPr>
        <b/>
        <u/>
        <sz val="10"/>
        <color theme="1"/>
        <rFont val="Calibri"/>
        <family val="2"/>
        <scheme val="minor"/>
      </rPr>
      <t>overall</t>
    </r>
    <r>
      <rPr>
        <b/>
        <sz val="10"/>
        <color theme="1"/>
        <rFont val="Calibri"/>
        <family val="2"/>
        <scheme val="minor"/>
      </rPr>
      <t xml:space="preserve"> (</t>
    </r>
    <r>
      <rPr>
        <b/>
        <sz val="10"/>
        <color theme="1"/>
        <rFont val="Calibri"/>
        <family val="2"/>
      </rPr>
      <t>≥</t>
    </r>
    <r>
      <rPr>
        <b/>
        <sz val="10"/>
        <color theme="1"/>
        <rFont val="Calibri"/>
        <family val="2"/>
        <scheme val="minor"/>
      </rPr>
      <t>10%)?</t>
    </r>
  </si>
  <si>
    <r>
      <t xml:space="preserve">3b.1 Mortality - 
Is there high missingness </t>
    </r>
    <r>
      <rPr>
        <b/>
        <u/>
        <sz val="10"/>
        <color theme="1"/>
        <rFont val="Calibri"/>
        <family val="2"/>
        <scheme val="minor"/>
      </rPr>
      <t>overall</t>
    </r>
    <r>
      <rPr>
        <b/>
        <sz val="10"/>
        <color theme="1"/>
        <rFont val="Calibri"/>
        <family val="2"/>
        <scheme val="minor"/>
      </rPr>
      <t xml:space="preserve"> (</t>
    </r>
    <r>
      <rPr>
        <b/>
        <sz val="10"/>
        <color theme="1"/>
        <rFont val="Calibri"/>
        <family val="2"/>
      </rPr>
      <t>≥</t>
    </r>
    <r>
      <rPr>
        <b/>
        <sz val="10"/>
        <color theme="1"/>
        <rFont val="Calibri"/>
        <family val="2"/>
        <scheme val="minor"/>
      </rPr>
      <t>10%)?</t>
    </r>
  </si>
  <si>
    <t>4a.2 Surrogate -
Could measurement or ascertainment of the outcome have differed between trial arms?</t>
  </si>
  <si>
    <t>4b.2 Mortality -
Could measurement or ascertainment of the outcome have differed between trial arms?</t>
  </si>
  <si>
    <t>Comment</t>
  </si>
  <si>
    <t xml:space="preserve">Overall rating </t>
  </si>
  <si>
    <t>Comment for 3a.1</t>
  </si>
  <si>
    <t>Comment for 3a.2</t>
  </si>
  <si>
    <t>Comment for 3b.1</t>
  </si>
  <si>
    <t>Comment for 3b.2</t>
  </si>
  <si>
    <t>Comment for 3c.1</t>
  </si>
  <si>
    <t>Comment for 4a.1</t>
  </si>
  <si>
    <r>
      <t xml:space="preserve">4a.2 Surrogate -
Could measurement or ascertainment of the outcome have differed </t>
    </r>
    <r>
      <rPr>
        <b/>
        <u/>
        <sz val="10"/>
        <color theme="1"/>
        <rFont val="Calibri"/>
        <family val="2"/>
        <scheme val="minor"/>
      </rPr>
      <t>between trial arms</t>
    </r>
    <r>
      <rPr>
        <b/>
        <sz val="10"/>
        <color theme="1"/>
        <rFont val="Calibri"/>
        <family val="2"/>
        <scheme val="minor"/>
      </rPr>
      <t>?</t>
    </r>
  </si>
  <si>
    <t>Comment for 4a.2</t>
  </si>
  <si>
    <t>Comment for 4b.1</t>
  </si>
  <si>
    <r>
      <t xml:space="preserve">4b.2 Mortality -
Could measurement or ascertainment of the outcome have differed </t>
    </r>
    <r>
      <rPr>
        <b/>
        <u/>
        <sz val="10"/>
        <color theme="1"/>
        <rFont val="Calibri"/>
        <family val="2"/>
        <scheme val="minor"/>
      </rPr>
      <t>between trial arms</t>
    </r>
    <r>
      <rPr>
        <b/>
        <sz val="10"/>
        <color theme="1"/>
        <rFont val="Calibri"/>
        <family val="2"/>
        <scheme val="minor"/>
      </rPr>
      <t>?</t>
    </r>
  </si>
  <si>
    <t>Comment for 4b.2</t>
  </si>
  <si>
    <t>Comment for 5.1</t>
  </si>
  <si>
    <t>Comment for 5.2</t>
  </si>
  <si>
    <r>
      <rPr>
        <u/>
        <sz val="10"/>
        <color theme="1"/>
        <rFont val="Calibri"/>
        <family val="2"/>
        <scheme val="minor"/>
      </rPr>
      <t>Low risk:</t>
    </r>
    <r>
      <rPr>
        <sz val="10"/>
        <color theme="1"/>
        <rFont val="Calibri"/>
        <family val="2"/>
        <scheme val="minor"/>
      </rPr>
      <t xml:space="preserve"> </t>
    </r>
    <r>
      <rPr>
        <b/>
        <sz val="10"/>
        <color theme="1"/>
        <rFont val="Calibri"/>
        <family val="2"/>
        <scheme val="minor"/>
      </rPr>
      <t>1.1</t>
    </r>
    <r>
      <rPr>
        <sz val="10"/>
        <color theme="1"/>
        <rFont val="Calibri"/>
        <family val="2"/>
        <scheme val="minor"/>
      </rPr>
      <t xml:space="preserve"> answered with 'No'.
</t>
    </r>
    <r>
      <rPr>
        <u/>
        <sz val="10"/>
        <color theme="1"/>
        <rFont val="Calibri"/>
        <family val="2"/>
        <scheme val="minor"/>
      </rPr>
      <t>Unclear risk:</t>
    </r>
    <r>
      <rPr>
        <sz val="10"/>
        <color theme="1"/>
        <rFont val="Calibri"/>
        <family val="2"/>
        <scheme val="minor"/>
      </rPr>
      <t xml:space="preserve"> </t>
    </r>
    <r>
      <rPr>
        <b/>
        <sz val="10"/>
        <color theme="1"/>
        <rFont val="Calibri"/>
        <family val="2"/>
        <scheme val="minor"/>
      </rPr>
      <t xml:space="preserve"> 1.1</t>
    </r>
    <r>
      <rPr>
        <sz val="10"/>
        <color theme="1"/>
        <rFont val="Calibri"/>
        <family val="2"/>
        <scheme val="minor"/>
      </rPr>
      <t xml:space="preserve"> answered with 'No information'.
</t>
    </r>
    <r>
      <rPr>
        <u/>
        <sz val="10"/>
        <color theme="1"/>
        <rFont val="Calibri"/>
        <family val="2"/>
        <scheme val="minor"/>
      </rPr>
      <t>High risk:</t>
    </r>
    <r>
      <rPr>
        <sz val="10"/>
        <color theme="1"/>
        <rFont val="Calibri"/>
        <family val="2"/>
        <scheme val="minor"/>
      </rPr>
      <t xml:space="preserve"> </t>
    </r>
    <r>
      <rPr>
        <b/>
        <sz val="10"/>
        <color theme="1"/>
        <rFont val="Calibri"/>
        <family val="2"/>
        <scheme val="minor"/>
      </rPr>
      <t>1.1</t>
    </r>
    <r>
      <rPr>
        <sz val="10"/>
        <color theme="1"/>
        <rFont val="Calibri"/>
        <family val="2"/>
        <scheme val="minor"/>
      </rPr>
      <t xml:space="preserve"> answered with 'Yes'.</t>
    </r>
  </si>
  <si>
    <r>
      <rPr>
        <u/>
        <sz val="10"/>
        <color theme="1"/>
        <rFont val="Calibri"/>
        <family val="2"/>
        <scheme val="minor"/>
      </rPr>
      <t>Low risk:</t>
    </r>
    <r>
      <rPr>
        <sz val="10"/>
        <color theme="1"/>
        <rFont val="Calibri"/>
        <family val="2"/>
        <scheme val="minor"/>
      </rPr>
      <t xml:space="preserve"> </t>
    </r>
    <r>
      <rPr>
        <b/>
        <sz val="10"/>
        <color theme="1"/>
        <rFont val="Calibri"/>
        <family val="2"/>
        <scheme val="minor"/>
      </rPr>
      <t>2.1</t>
    </r>
    <r>
      <rPr>
        <sz val="10"/>
        <color theme="1"/>
        <rFont val="Calibri"/>
        <family val="2"/>
        <scheme val="minor"/>
      </rPr>
      <t xml:space="preserve"> answered with 'No'.
</t>
    </r>
    <r>
      <rPr>
        <u/>
        <sz val="10"/>
        <color theme="1"/>
        <rFont val="Calibri"/>
        <family val="2"/>
        <scheme val="minor"/>
      </rPr>
      <t>Unclear risk:</t>
    </r>
    <r>
      <rPr>
        <sz val="10"/>
        <color theme="1"/>
        <rFont val="Calibri"/>
        <family val="2"/>
        <scheme val="minor"/>
      </rPr>
      <t xml:space="preserve"> </t>
    </r>
    <r>
      <rPr>
        <b/>
        <sz val="10"/>
        <color theme="1"/>
        <rFont val="Calibri"/>
        <family val="2"/>
        <scheme val="minor"/>
      </rPr>
      <t>2.1</t>
    </r>
    <r>
      <rPr>
        <sz val="10"/>
        <color theme="1"/>
        <rFont val="Calibri"/>
        <family val="2"/>
        <scheme val="minor"/>
      </rPr>
      <t xml:space="preserve"> answered with 'No information'.
</t>
    </r>
    <r>
      <rPr>
        <u/>
        <sz val="10"/>
        <color theme="1"/>
        <rFont val="Calibri"/>
        <family val="2"/>
        <scheme val="minor"/>
      </rPr>
      <t>High risk:</t>
    </r>
    <r>
      <rPr>
        <sz val="10"/>
        <color theme="1"/>
        <rFont val="Calibri"/>
        <family val="2"/>
        <scheme val="minor"/>
      </rPr>
      <t xml:space="preserve"> </t>
    </r>
    <r>
      <rPr>
        <b/>
        <sz val="10"/>
        <color theme="1"/>
        <rFont val="Calibri"/>
        <family val="2"/>
        <scheme val="minor"/>
      </rPr>
      <t>2.1</t>
    </r>
    <r>
      <rPr>
        <sz val="10"/>
        <color theme="1"/>
        <rFont val="Calibri"/>
        <family val="2"/>
        <scheme val="minor"/>
      </rPr>
      <t xml:space="preserve"> answered with 'Yes'.</t>
    </r>
  </si>
  <si>
    <r>
      <rPr>
        <b/>
        <sz val="10"/>
        <color theme="1"/>
        <rFont val="Calibri"/>
        <family val="2"/>
        <scheme val="minor"/>
      </rPr>
      <t xml:space="preserve">Low risk: </t>
    </r>
    <r>
      <rPr>
        <sz val="10"/>
        <color theme="1"/>
        <rFont val="Calibri"/>
        <family val="2"/>
        <scheme val="minor"/>
      </rPr>
      <t xml:space="preserve">The study is judged to be at low risk of bias (or NA) for all domains.
</t>
    </r>
    <r>
      <rPr>
        <b/>
        <sz val="10"/>
        <color theme="1"/>
        <rFont val="Calibri"/>
        <family val="2"/>
        <scheme val="minor"/>
      </rPr>
      <t xml:space="preserve">Unclear risk: </t>
    </r>
    <r>
      <rPr>
        <sz val="10"/>
        <color theme="1"/>
        <rFont val="Calibri"/>
        <family val="2"/>
        <scheme val="minor"/>
      </rPr>
      <t xml:space="preserve">The study is judged as unclear risk of bias in at least one domain, but not as high risk of bias for any domain.
</t>
    </r>
    <r>
      <rPr>
        <b/>
        <sz val="10"/>
        <color theme="1"/>
        <rFont val="Calibri"/>
        <family val="2"/>
        <scheme val="minor"/>
      </rPr>
      <t xml:space="preserve">High risk: </t>
    </r>
    <r>
      <rPr>
        <sz val="10"/>
        <color theme="1"/>
        <rFont val="Calibri"/>
        <family val="2"/>
        <scheme val="minor"/>
      </rPr>
      <t xml:space="preserve">The study is judged to be at high risk of bias in at least one domain. </t>
    </r>
  </si>
  <si>
    <r>
      <t xml:space="preserve">3b. Missing outcome data - Cancer-specific mortality </t>
    </r>
    <r>
      <rPr>
        <sz val="10"/>
        <color theme="1"/>
        <rFont val="Calibri"/>
        <family val="2"/>
        <scheme val="minor"/>
      </rPr>
      <t>(i.e. missing data on cause of death)</t>
    </r>
    <r>
      <rPr>
        <b/>
        <sz val="10"/>
        <color theme="1"/>
        <rFont val="Calibri"/>
        <family val="2"/>
        <scheme val="minor"/>
      </rPr>
      <t xml:space="preserve">
</t>
    </r>
    <r>
      <rPr>
        <i/>
        <sz val="10"/>
        <color theme="1"/>
        <rFont val="Calibri"/>
        <family val="2"/>
        <scheme val="minor"/>
      </rPr>
      <t>(Rate for the "main" timepoint for cancer-specific mortality.)</t>
    </r>
  </si>
  <si>
    <r>
      <t xml:space="preserve">3a. Missing outcome data - Surrogate </t>
    </r>
    <r>
      <rPr>
        <sz val="10"/>
        <color theme="1"/>
        <rFont val="Calibri"/>
        <family val="2"/>
        <scheme val="minor"/>
      </rPr>
      <t>(i.e. missing data on 'stage' or its approximation)</t>
    </r>
    <r>
      <rPr>
        <b/>
        <sz val="10"/>
        <color theme="1"/>
        <rFont val="Calibri"/>
        <family val="2"/>
        <scheme val="minor"/>
      </rPr>
      <t xml:space="preserve">
</t>
    </r>
    <r>
      <rPr>
        <i/>
        <sz val="10"/>
        <color theme="1"/>
        <rFont val="Calibri"/>
        <family val="2"/>
        <scheme val="minor"/>
      </rPr>
      <t>(Rate for the "best" late-stage definition available.)</t>
    </r>
  </si>
  <si>
    <t xml:space="preserve">3c. Missing outcome data - Differential attrition between surrogate and mortality
</t>
  </si>
  <si>
    <r>
      <t xml:space="preserve">3c.1 Is there a large difference in attrition </t>
    </r>
    <r>
      <rPr>
        <b/>
        <u/>
        <sz val="10"/>
        <color theme="1"/>
        <rFont val="Calibri"/>
        <family val="2"/>
        <scheme val="minor"/>
      </rPr>
      <t>between surrogate and mortality outcomes</t>
    </r>
    <r>
      <rPr>
        <b/>
        <sz val="10"/>
        <color theme="1"/>
        <rFont val="Calibri"/>
        <family val="2"/>
        <scheme val="minor"/>
      </rPr>
      <t xml:space="preserve"> (≥5% absolute difference)?</t>
    </r>
  </si>
  <si>
    <t>Proportion of known cancer patients with missing data on cancer stage (or its approximation).
Rate for the "best" surrogate definition chosen.
Answer 'Yes' if data on stage (or its approximation) were missing on ≥10% of known cancer cases.
Answer 'No' if data on stage (or its approxmation) were missing on &lt;10% of known cancer cases.
Answer 'No information' if not enough information available to allow judgement.</t>
  </si>
  <si>
    <t>Proportion of known cancer patients with missing data on cancer stage (or its approximation).
Rate for the "best" surrogate definition chosen. Consider available information on the proportion of study participants with missing outcome data per arm.
Answer ‘Yes’ if the proportion with missing outcome data is different enough between trial arms to raise concerns (≥5% difference). 
Answer ‘No’ if the number/proportion of participants with missing outcome data is similar enough between trial arms (&lt;5 % absolute difference). 
Answer 'No information' if not enough information available to allow judgement.</t>
  </si>
  <si>
    <t>Proportion of known deaths with missing cause of death.
Rate for the "main" cancer-specific mortality timepoint chosen. Consider available information on the proportion of study participants with missing outcome data per arm.
Answer 'Yes' if data on cause of death was missing on ≥10% of known deaths.
Answer 'No' if data on cause of death was missing on &lt;10% of known deaths.
Answer 'No information' if not enough information available to allow judgement.</t>
  </si>
  <si>
    <t>Proportion of known deaths with missing cause of death.
Rate for the "main" cancer-specific mortality timepoint chosen.
Answer ‘Yes’ if the proportion with missing outcome data is different enough between trial arms to raise concerns (≥5% difference). 
Answer ‘No’ if the number/proportion of participants with missing outcome data is similar enough between trial arms (&lt;5 % absolute difference). 
Answer 'No information' if not enough information available to allow judgement.</t>
  </si>
  <si>
    <t>Missing outcome data due to attrition, for instance if it was unknown if a patient was diagnosed with the target cancer or not or if they died or not due to losses to follow-up, withdrawals from trial, missing medical records. Rate for the "best" late-stage definition and "main" cancer-specific mortality timepoint, respectively.
Answer ‘Yes’ if the proportion with missing outcome data is different enough between mortality and surrogate outcomes to raise concerns (5% absolute difference). 
Answer ‘No’ if the proportion of participants with missing outcome data is similar enough between mortality and surrogate outcomes (&lt;5% absolute difference). 
Answer 'No information' if not enough information available to allow judgement.</t>
  </si>
  <si>
    <t>Centre and age</t>
  </si>
  <si>
    <t>Centre and sex</t>
  </si>
  <si>
    <t>Cluster/Centre/Country</t>
  </si>
  <si>
    <t>Chest X-ray</t>
  </si>
  <si>
    <t>Chest X-ray + sputum cytology</t>
  </si>
  <si>
    <t>Chest X-ray + sputum cytology (high intensity)</t>
  </si>
  <si>
    <t>Chest X-ray + sputum cytology (low intensity)</t>
  </si>
  <si>
    <r>
      <rPr>
        <u/>
        <sz val="10"/>
        <color theme="1"/>
        <rFont val="Calibri"/>
        <family val="2"/>
        <scheme val="minor"/>
      </rPr>
      <t>Low risk:</t>
    </r>
    <r>
      <rPr>
        <sz val="10"/>
        <color theme="1"/>
        <rFont val="Calibri"/>
        <family val="2"/>
        <scheme val="minor"/>
      </rPr>
      <t xml:space="preserve"> </t>
    </r>
    <r>
      <rPr>
        <b/>
        <sz val="10"/>
        <color theme="1"/>
        <rFont val="Calibri"/>
        <family val="2"/>
        <scheme val="minor"/>
      </rPr>
      <t>4a.1/4b.1</t>
    </r>
    <r>
      <rPr>
        <sz val="10"/>
        <color theme="1"/>
        <rFont val="Calibri"/>
        <family val="2"/>
        <scheme val="minor"/>
      </rPr>
      <t xml:space="preserve"> 'Yes' AND </t>
    </r>
    <r>
      <rPr>
        <b/>
        <sz val="10"/>
        <color theme="1"/>
        <rFont val="Calibri"/>
        <family val="2"/>
        <scheme val="minor"/>
      </rPr>
      <t>4a.2/4.2b</t>
    </r>
    <r>
      <rPr>
        <sz val="10"/>
        <color theme="1"/>
        <rFont val="Calibri"/>
        <family val="2"/>
        <scheme val="minor"/>
      </rPr>
      <t xml:space="preserve"> 'No'.
</t>
    </r>
    <r>
      <rPr>
        <u/>
        <sz val="10"/>
        <color theme="1"/>
        <rFont val="Calibri"/>
        <family val="2"/>
        <scheme val="minor"/>
      </rPr>
      <t>Unclear risk:</t>
    </r>
    <r>
      <rPr>
        <sz val="10"/>
        <color theme="1"/>
        <rFont val="Calibri"/>
        <family val="2"/>
        <scheme val="minor"/>
      </rPr>
      <t xml:space="preserve"> At least one 'No information' rating but no 'High risk' rating.
</t>
    </r>
    <r>
      <rPr>
        <u/>
        <sz val="10"/>
        <color theme="1"/>
        <rFont val="Calibri"/>
        <family val="2"/>
        <scheme val="minor"/>
      </rPr>
      <t>High risk</t>
    </r>
    <r>
      <rPr>
        <sz val="10"/>
        <color theme="1"/>
        <rFont val="Calibri"/>
        <family val="2"/>
        <scheme val="minor"/>
      </rPr>
      <t>: At least one of the following:</t>
    </r>
    <r>
      <rPr>
        <b/>
        <sz val="10"/>
        <color theme="1"/>
        <rFont val="Calibri"/>
        <family val="2"/>
        <scheme val="minor"/>
      </rPr>
      <t xml:space="preserve"> 4a.1</t>
    </r>
    <r>
      <rPr>
        <sz val="10"/>
        <color theme="1"/>
        <rFont val="Calibri"/>
        <family val="2"/>
        <scheme val="minor"/>
      </rPr>
      <t xml:space="preserve"> 'No' OR </t>
    </r>
    <r>
      <rPr>
        <b/>
        <sz val="10"/>
        <color theme="1"/>
        <rFont val="Calibri"/>
        <family val="2"/>
        <scheme val="minor"/>
      </rPr>
      <t>4b.1</t>
    </r>
    <r>
      <rPr>
        <sz val="10"/>
        <color theme="1"/>
        <rFont val="Calibri"/>
        <family val="2"/>
        <scheme val="minor"/>
      </rPr>
      <t xml:space="preserve"> 'No' OR </t>
    </r>
    <r>
      <rPr>
        <b/>
        <sz val="10"/>
        <color theme="1"/>
        <rFont val="Calibri"/>
        <family val="2"/>
        <scheme val="minor"/>
      </rPr>
      <t>4a.2</t>
    </r>
    <r>
      <rPr>
        <sz val="10"/>
        <color theme="1"/>
        <rFont val="Calibri"/>
        <family val="2"/>
        <scheme val="minor"/>
      </rPr>
      <t xml:space="preserve"> 'Yes' OR </t>
    </r>
    <r>
      <rPr>
        <b/>
        <sz val="10"/>
        <color theme="1"/>
        <rFont val="Calibri"/>
        <family val="2"/>
        <scheme val="minor"/>
      </rPr>
      <t>4b.2</t>
    </r>
    <r>
      <rPr>
        <sz val="10"/>
        <color theme="1"/>
        <rFont val="Calibri"/>
        <family val="2"/>
        <scheme val="minor"/>
      </rPr>
      <t xml:space="preserve"> 'Yes'.</t>
    </r>
  </si>
  <si>
    <t>Comment 5.3</t>
  </si>
  <si>
    <t>Relative risk</t>
  </si>
  <si>
    <t>Rate ratio</t>
  </si>
  <si>
    <t>Hazard ratio</t>
  </si>
  <si>
    <t>Odds ratio</t>
  </si>
  <si>
    <t>Jacobs 1999 (#2736)</t>
  </si>
  <si>
    <t>Ovarian cancer mortality (per 1,000 women randomised);
Follow-up until January 1998;
Screening vs no screening.</t>
  </si>
  <si>
    <t>Cancer-specific mortality; only timepoint available</t>
  </si>
  <si>
    <t>N</t>
  </si>
  <si>
    <t>Screening and control groups had a similar rate of surgery by a gynaecological oncologist (three of 16 v s three of 20, p = 0 · 9 9) .</t>
  </si>
  <si>
    <t>No missing stage data.</t>
  </si>
  <si>
    <t>No missing cause of death for ovarian cancer cases.</t>
  </si>
  <si>
    <r>
      <rPr>
        <sz val="10"/>
        <color rgb="FFFF0000"/>
        <rFont val="Calibri"/>
        <family val="2"/>
        <scheme val="minor"/>
      </rPr>
      <t xml:space="preserve"> </t>
    </r>
    <r>
      <rPr>
        <sz val="10"/>
        <color rgb="FF00B050"/>
        <rFont val="Calibri"/>
        <family val="2"/>
        <scheme val="minor"/>
      </rPr>
      <t>N</t>
    </r>
  </si>
  <si>
    <t xml:space="preserve">No attrition between diagnosis of ovarian cancer (surrogate) and cancer-specific mortality.
</t>
  </si>
  <si>
    <t>Y</t>
  </si>
  <si>
    <t>Cancer registry follow-up was done at the same time for the two groups and the registry was not aware of randomisation status.</t>
  </si>
  <si>
    <t>NI</t>
  </si>
  <si>
    <t>Family physicians of all women with
index cancers whose deaths had not been documented by
death certification were contacted in January, 1998, to
establish disease status. No information on blinding.</t>
  </si>
  <si>
    <t>Same method used for both arms.</t>
  </si>
  <si>
    <t>Low and unclear risk ratings.</t>
  </si>
  <si>
    <t>Martin 2018 (#3713)</t>
  </si>
  <si>
    <t>Definite, probable, or intervention-related prostate cancer mortality (per 1,000 PY); 
median follow-up of 10 years</t>
  </si>
  <si>
    <t>Defined in trial protocol/SAP as primary outcome and used for power calculation</t>
  </si>
  <si>
    <t>No important differences in measured baseline characteristics between intervention group vs control group practices or men (Table 1).</t>
  </si>
  <si>
    <t>I would go for unclear risk then as we don't have data on treatment adherence.</t>
  </si>
  <si>
    <r>
      <rPr>
        <sz val="10"/>
        <rFont val="Calibri"/>
        <family val="2"/>
        <scheme val="minor"/>
      </rPr>
      <t xml:space="preserve"> </t>
    </r>
    <r>
      <rPr>
        <sz val="10"/>
        <color rgb="FFFF0000"/>
        <rFont val="Calibri"/>
        <family val="2"/>
        <scheme val="minor"/>
      </rPr>
      <t>Y</t>
    </r>
  </si>
  <si>
    <r>
      <rPr>
        <sz val="10"/>
        <rFont val="Calibri"/>
        <family val="2"/>
        <scheme val="minor"/>
      </rPr>
      <t xml:space="preserve"> </t>
    </r>
    <r>
      <rPr>
        <sz val="10"/>
        <color rgb="FF00B050"/>
        <rFont val="Calibri"/>
        <family val="2"/>
        <scheme val="minor"/>
      </rPr>
      <t>N</t>
    </r>
  </si>
  <si>
    <t>Men were excluded from primary analyses if vital status data could not be linked</t>
  </si>
  <si>
    <t>No difference</t>
  </si>
  <si>
    <t>Same ascertainment for both arms</t>
  </si>
  <si>
    <t>NHS Digital Organization and the ONS for deaths and cancer registrations.
Cause of death determined by an independent cause of death evaluation committee that was blinded to trial group assignment.</t>
  </si>
  <si>
    <t>Kubik 2000 (#653)</t>
  </si>
  <si>
    <t>Comparison indicated no group differences for age composition, SES, place of residence, occupational exposure to potential carcinogens, duration of smoking, or lifetime cigarettes smoked</t>
  </si>
  <si>
    <r>
      <rPr>
        <sz val="10"/>
        <rFont val="Calibri"/>
        <family val="2"/>
        <scheme val="minor"/>
      </rPr>
      <t xml:space="preserve"> </t>
    </r>
    <r>
      <rPr>
        <sz val="10"/>
        <color theme="1"/>
        <rFont val="Calibri"/>
        <family val="2"/>
        <scheme val="minor"/>
      </rPr>
      <t>NI</t>
    </r>
  </si>
  <si>
    <t>Source and method not clearly described: Records from the district chest clinic in collaboration with the coordinating institute? No information on blinding.</t>
  </si>
  <si>
    <t>Same methods used for both arms.</t>
  </si>
  <si>
    <t>Follow-up of the lung cancer patients by the district chest clinic in collaboration with the coordinating institute. No information on blinding.</t>
  </si>
  <si>
    <t>Treatment independent to group allocation</t>
  </si>
  <si>
    <t>Wille 2016 (#748)</t>
  </si>
  <si>
    <t>Lung cancer mortality (per 1,000 PY) and hazard ratio (HR); Follow-up until 7 April 2015;
Screening vs control</t>
  </si>
  <si>
    <t>Follow-up time from power calculations was 10 years from randomisation. Here the median follow-up time was 9.80 years for both arms.</t>
  </si>
  <si>
    <t>Significantly more participants with more than 35 pack-years of smoking in the screening group (P = 0.047). Regarding lung function, the lungs of participants in the screening group were significantly more obstructed than those in the control group (P = 0.029 for FEV1/FVC).</t>
  </si>
  <si>
    <t>Controls: Lung cancers were diagnosed and treated outside the study by the usual clinical practice (formalized Danish national guidelines), which mostly involved the same lung cancer diagnostic centres and the same diagnostic and treatment strategy as for the screening group. No information on adherence.</t>
  </si>
  <si>
    <t>2/153 (1.3%) with unknown stage</t>
  </si>
  <si>
    <t>Screening: 2/100 (2%)
Control: 0/53 (0%)
Absolute difference: 2%</t>
  </si>
  <si>
    <t>Screening: 8/165 (4.8%)
Control: 2/163 (1.2%)
Total: 10/328 (3.0%)</t>
  </si>
  <si>
    <t>Screening: 8/165 (4.8%)
Control: 2/163 (1.2%)
Absolute difference: 3.6%</t>
  </si>
  <si>
    <t>Screening: 20/2,052 (0.97%)
Control: 14/2,052 (0.68%)
Absolute difference: 0.29%</t>
  </si>
  <si>
    <t>Danish Lung Cancer Registry, the Danish Cancer Registry, the Danish Causes of Death
Registry, and the Danish Pathology Registry.
Nothing about blinding</t>
  </si>
  <si>
    <t>Same method for both arms</t>
  </si>
  <si>
    <t>Danish Pathology Registry, Danish Causes of Death Registry, Danish Civil Registration System; for recent deaths, the medical history, and cause of death were sought and obtained from medical records of hospitals, autopsy
reports, and general practitioners. Final conclusions regarding cause of death were established by the local review board. To avoid bias, affiliations with randomization groups were not attached to these data until after causes of death were determined.</t>
  </si>
  <si>
    <t>High risk of bias in randomisation
domain due to baseline differences</t>
  </si>
  <si>
    <t>Doria-Rose 2009 (#11745)</t>
  </si>
  <si>
    <t>Lung cancer mortality (per 100,000 PY), all lung cancer cases deaths up to 9 years after study entry;
Screening vs another type of screening</t>
  </si>
  <si>
    <t>Doria-Rose says "Within each trial, the screening groups were similar with respect to age, race, smoking, asbestos exposure, and duration of follow-up." But there is a stat sig differences between proportions of people who are black/white in the study arms</t>
  </si>
  <si>
    <t>Prompt appropriate treatment after localisation and staging procedures.
Same in both arms. No information on adherence.</t>
  </si>
  <si>
    <t>Dual screen: 18/233 (7.7%)
X-ray only: 20/242 (8.3%)
Total: 38/475 (8.0%)</t>
  </si>
  <si>
    <t>Dual screen: 18/233 (7.7%)
X-ray only: 20/242 (8.3%)
Absolute difference: 0.54%)</t>
  </si>
  <si>
    <t>No information</t>
  </si>
  <si>
    <t xml:space="preserve">Losses to follow-up:
Dual screen: 19/5,226 (0.36%)
X-ray only: 9/5,160 (0.17%)
Absolute difference: 0.19%
</t>
  </si>
  <si>
    <t>Medical records; no information if review was blinded to study arm</t>
  </si>
  <si>
    <t>Annual questionaire (or lack of response with further investigation to determine whether death had occurred). Blinded review of death certificates and relevant clinical records by a mortality review committee.</t>
  </si>
  <si>
    <t xml:space="preserve">High risk as randomisation procedure was not quite adequate with respect to race (% of black people differed significantly).
</t>
  </si>
  <si>
    <t>Prostate cancer mortality in men with cancers diagnosed up to 31 December 1999;
Follow-up until 31 December 2008 (20 years)</t>
  </si>
  <si>
    <t>Sandblom 2011 (#3726)</t>
  </si>
  <si>
    <t>20-year follow up was used in power calculations</t>
  </si>
  <si>
    <t>JG: I agree with you.</t>
  </si>
  <si>
    <t>JG: Agree with you as there was no information on the adherence to treatment.</t>
  </si>
  <si>
    <t>No missing data for 'best' late-stage. But lots of missing data for N category (72 - 81%) and M category (18 - 34%)</t>
  </si>
  <si>
    <t>No missing data for cause of death</t>
  </si>
  <si>
    <t>No missing data reported for death</t>
  </si>
  <si>
    <t>No missing data for best late-stage cancer (advanced tumor) and mortality from all participants from population registries ("Data on survival, however, were complete for the whole cohort, including those who migrated")</t>
  </si>
  <si>
    <t>Data obtained from the Swedish South-East Region Prostate Cancer Register</t>
  </si>
  <si>
    <t>Same for both arms</t>
  </si>
  <si>
    <t>In September 2009 cause of death was registered in a blinded review of the patients’ records for all men who died.</t>
  </si>
  <si>
    <t>Data obtained from same source, regardless of trial arm (Swedish South-East Region Prostate Cancer Register)</t>
  </si>
  <si>
    <t>agree (but: hardly any women were excluded from the control arm, whereas women randomised into the two screening arms were excluded from analyses if they refused being screened [in the first round??])</t>
  </si>
  <si>
    <t>Same treatment within the NHS offered. No information on adherence.</t>
  </si>
  <si>
    <t>MMS: 1/338
USS: 0/314
No screening: 2/630
Total: 3/1,282 (0.2%)</t>
  </si>
  <si>
    <t>MMS: 1/338 (0.3%)
USS: 0/314 (0%)
No screening: 2/630 (0.3%)
Absolute difference &lt;5% between arms.</t>
  </si>
  <si>
    <r>
      <t xml:space="preserve">Web Table 6: Missing cause of death -
MMS: 18/3,376 (0.5%)
USS: 13/3,262 (0.4%)
No screening: 34/6,658 (0.5%)
</t>
    </r>
    <r>
      <rPr>
        <b/>
        <sz val="10"/>
        <color theme="1"/>
        <rFont val="Calibri"/>
        <family val="2"/>
        <scheme val="minor"/>
      </rPr>
      <t>Total: 65/13,296 (0.5%)</t>
    </r>
  </si>
  <si>
    <t xml:space="preserve"> N</t>
  </si>
  <si>
    <r>
      <t xml:space="preserve">Web Table 6: Missing cause of death -
MMS: 18/3,376 (0.5%)
USS: 13/3,262 (0.4%)
No screening: 34/6,658 (0.5%)
</t>
    </r>
    <r>
      <rPr>
        <b/>
        <sz val="10"/>
        <color theme="1"/>
        <rFont val="Calibri"/>
        <family val="2"/>
        <scheme val="minor"/>
      </rPr>
      <t>&lt;5% absolute difference</t>
    </r>
  </si>
  <si>
    <t xml:space="preserve">Complete follow-up in 200 293 (98·9%) women (no screening 100 149 [98·8%]; MMS 50 084 [98·9%]; USS 50 060 [98·9%]).
Attrition difference from date of cancer diagnosis to end of follow-up &lt;5%.
</t>
  </si>
  <si>
    <t>Cancer registry, death certificate, Hospital Episode Statistics, NCIN, Follow-up questionnaires 1+2; contact by patient or relative, informed by physician / trial surgery.
Medical notes of women with certain ICD-10 codes reviewed blindly by outcomes committee.</t>
  </si>
  <si>
    <t>Same methods used for all 3 arms.</t>
  </si>
  <si>
    <t>Jacobs 2016 (#2733)</t>
  </si>
  <si>
    <t>Ovarian-cancer mortality; follow-up until 31/12/2014</t>
  </si>
  <si>
    <t>Oken 2011 (#1128)</t>
  </si>
  <si>
    <t>Lung-specific mortality 13 years since randomisation; data cutoff December 31, 2009</t>
  </si>
  <si>
    <t>Main analysis timepoint</t>
  </si>
  <si>
    <t>The groups were similar: approximately half were women (50.5%); 64.1% were aged 55 through 64 years at baseline; about 45% were never smokers, 42% former smokers, and 10% current smokers."</t>
  </si>
  <si>
    <t>Primary treatment for lung cancer was similar across groups, both overall and by stage.</t>
  </si>
  <si>
    <t>Cause of death unknown in 10 (0.04%) and 21 (0.09%).</t>
  </si>
  <si>
    <t>Unclear if blinded.</t>
  </si>
  <si>
    <t>Blinded end point adjudication process to assign cause of death for all deaths with causes potentially related to a PLCO cancer and any of unknown or uncertain cause.</t>
  </si>
  <si>
    <t>Low risk and unclear risk ratings.</t>
  </si>
  <si>
    <t>PLCO (Lung)</t>
  </si>
  <si>
    <t>PLCO (Prostate)</t>
  </si>
  <si>
    <t>Prostate-specific mortality at 13 years since randomisation</t>
  </si>
  <si>
    <t>Andriole 2012 (#1582)</t>
  </si>
  <si>
    <t>Reported as the planned follow-up in the 'Design of the PLCO trial' publication (Prorok 2000)</t>
  </si>
  <si>
    <t>The baseline characteristics of the subjects were virtually identical in the two study groups.</t>
  </si>
  <si>
    <t>For each stage, the treatment distribution was similar across trial arms. Overall, nearly 11% of the subjects in the screening group and 10% of those in the control group did not undergo any known treatment.</t>
  </si>
  <si>
    <t>Pinksy 2019 (Table 3) reports unknown cause of death for 7 (0.05%) in intervention and 12 (0.09%) in usual care arm.</t>
  </si>
  <si>
    <t>The underlying cause of death was determined in a uniform and unbiased manner from the death certificate and relevant medical records</t>
  </si>
  <si>
    <t xml:space="preserve">Y </t>
  </si>
  <si>
    <t>PLCO (Ovarian)</t>
  </si>
  <si>
    <t>Buys 2011 (1519)</t>
  </si>
  <si>
    <t>Main analysis time.</t>
  </si>
  <si>
    <t>The baseline characteristics of the participants in the 2 groups were well balanced.</t>
  </si>
  <si>
    <t>Treatments for ovarian cancer were similar across study groups overall and within each stage. 
10% and 14% had no or unknown treatment.</t>
  </si>
  <si>
    <r>
      <t xml:space="preserve">Unknown stage:
Screening: 2/212
Control: 1/176
</t>
    </r>
    <r>
      <rPr>
        <b/>
        <sz val="10"/>
        <color theme="1"/>
        <rFont val="Calibri"/>
        <family val="2"/>
        <scheme val="minor"/>
      </rPr>
      <t>Total: 3/388 (0.8%)</t>
    </r>
  </si>
  <si>
    <r>
      <t xml:space="preserve">Unknown stage:
Screening: 2/212 (0.94%)
Control: 1/176 (0.57%)
</t>
    </r>
    <r>
      <rPr>
        <b/>
        <sz val="10"/>
        <color theme="1"/>
        <rFont val="Calibri"/>
        <family val="2"/>
        <scheme val="minor"/>
      </rPr>
      <t>Absolute difference &lt;5%.</t>
    </r>
  </si>
  <si>
    <t>Pinsky 2019 (#1055) reports 3/8,953 (0.03%) and 9/8,810 (0.01%) with unknown cause of death.</t>
  </si>
  <si>
    <t>Same analysis date for chosen surrogate and mortality outcomes. No information on attrition = we don't know if they were diagnosed with cancer or if they died. Unlikely to be &gt;5% different though.</t>
  </si>
  <si>
    <t>Cause of death potentially related to a PLCO cancer determined blindly by expert committee using death certificate and relevant medical records</t>
  </si>
  <si>
    <r>
      <t xml:space="preserve">Cancer type
</t>
    </r>
    <r>
      <rPr>
        <i/>
        <sz val="10"/>
        <color theme="1"/>
        <rFont val="Calibri"/>
        <family val="2"/>
        <scheme val="minor"/>
      </rPr>
      <t>(Dropdown)</t>
    </r>
  </si>
  <si>
    <t>Field 2021 (#9925)</t>
  </si>
  <si>
    <t>Baseline characteristics of the participants who were randomised were balanced.</t>
  </si>
  <si>
    <t>No information on offered treatment and treatment adherence.</t>
  </si>
  <si>
    <t>People with missing outcome data excluded from the analyses.</t>
  </si>
  <si>
    <t>National registries</t>
  </si>
  <si>
    <t>Cause of death as in national registries.</t>
  </si>
  <si>
    <t>Chen 2003 (#2627)</t>
  </si>
  <si>
    <t>Liver cancer mortality (per 100,000 PY);
follow-up until 31/12/1995</t>
  </si>
  <si>
    <t>Target-specific cancer mortality; only tmepoint available</t>
  </si>
  <si>
    <t>No missing data on stage.</t>
  </si>
  <si>
    <t>No information on missing cause of death.</t>
  </si>
  <si>
    <t>No information on attrition. Same analysis date for chosen surrogate and mortality outcomes.</t>
  </si>
  <si>
    <t>Clinicians responsible for staging not aware of the screening status of the patients (and, for the most part, of the existence of a trial).
population-based cancer registry, which undertakes a
programme of active case finding, including review of all dea</t>
  </si>
  <si>
    <t>NordICC</t>
  </si>
  <si>
    <t>Bretthauer 2022 (#11139)</t>
  </si>
  <si>
    <t>CRC-related mortality; median 10-year follow-up</t>
  </si>
  <si>
    <t>sex and age at enrollment very similar</t>
  </si>
  <si>
    <t>Treatment offered from public health services in accordance to national guideline. No information on adherence.</t>
  </si>
  <si>
    <r>
      <t xml:space="preserve">Colonoscopy: 38/259 (14.7%)
Control: 94/622 (15.1%)
</t>
    </r>
    <r>
      <rPr>
        <b/>
        <sz val="10"/>
        <color theme="1"/>
        <rFont val="Calibri"/>
        <family val="2"/>
        <scheme val="minor"/>
      </rPr>
      <t>Total: 132/881 (15.0%)</t>
    </r>
  </si>
  <si>
    <r>
      <t xml:space="preserve">Colonoscopy: 38/259 (14.7%)
Control: 94/622 (15.1%)
</t>
    </r>
    <r>
      <rPr>
        <b/>
        <sz val="10"/>
        <color theme="1"/>
        <rFont val="Calibri"/>
        <family val="2"/>
        <scheme val="minor"/>
      </rPr>
      <t>Absolute difference: 0.4%</t>
    </r>
  </si>
  <si>
    <r>
      <rPr>
        <sz val="10"/>
        <color rgb="FF00B050"/>
        <rFont val="Calibri"/>
        <family val="2"/>
        <scheme val="minor"/>
      </rPr>
      <t>N</t>
    </r>
    <r>
      <rPr>
        <sz val="10"/>
        <color theme="1"/>
        <rFont val="Calibri"/>
        <family val="2"/>
        <scheme val="minor"/>
      </rPr>
      <t xml:space="preserve"> </t>
    </r>
  </si>
  <si>
    <t>Likely virtually complete for borth arms, as they linked to national cause of death registers</t>
  </si>
  <si>
    <t>Follow-up virtually complete.</t>
  </si>
  <si>
    <t>Cancer registries; blinded outcome assessment in Poland and partially in Norway.</t>
  </si>
  <si>
    <t>Cause-of-death registries</t>
  </si>
  <si>
    <t>Missing data on stage for 15% of CRC.</t>
  </si>
  <si>
    <t>De Koning 2020 (#490)</t>
  </si>
  <si>
    <t>Lung cancer mortality in men (per 100 men randomised);
at 10-years' follow-up or 31/12/2015;
Screening vs no screening</t>
  </si>
  <si>
    <t>The duration of smoking indeed differed but the data in Table 1 suggested tiny differences (acknowledging that differences in means not reported); all other differences including those related to frequency of smoking not significant</t>
  </si>
  <si>
    <t>Treatment offered according to national guidelines; no information on adherence.</t>
  </si>
  <si>
    <t>LDCT: 23/344 (6.7%)
Control: 17/304 (5.6%)
Total: 40/648 (6.2%)</t>
  </si>
  <si>
    <t>LDCT: 23/344 (6.7%)
Control: 17/304 (5.6%)
Absolute difference:
1.1%</t>
  </si>
  <si>
    <r>
      <t xml:space="preserve">LDCT: 6/868 (0.7%) unknown cause of death;
Control: 10/860 (1.2%) unknown cause of death;
</t>
    </r>
    <r>
      <rPr>
        <b/>
        <sz val="10"/>
        <color theme="1"/>
        <rFont val="Calibri"/>
        <family val="2"/>
        <scheme val="minor"/>
      </rPr>
      <t>Total: 16/1,728 (0.9%).</t>
    </r>
    <r>
      <rPr>
        <sz val="10"/>
        <color theme="1"/>
        <rFont val="Calibri"/>
        <family val="2"/>
        <scheme val="minor"/>
      </rPr>
      <t xml:space="preserve">
LDCT: 4/160 (2.5%) without known date of lung cancer diagnosis;
Control: 4/210 (1.9%)  without known date of lung cancer diagnosis;
</t>
    </r>
    <r>
      <rPr>
        <b/>
        <sz val="10"/>
        <color theme="1"/>
        <rFont val="Calibri"/>
        <family val="2"/>
        <scheme val="minor"/>
      </rPr>
      <t>Total: 8/370 (2.2%)</t>
    </r>
    <r>
      <rPr>
        <sz val="10"/>
        <color theme="1"/>
        <rFont val="Calibri"/>
        <family val="2"/>
        <scheme val="minor"/>
      </rPr>
      <t xml:space="preserve">
</t>
    </r>
  </si>
  <si>
    <t>Unknown cause of death:
Absolute difference 0.5%.
Unknown date of lung cancer diagnosis:
Absolute difference 0.6%</t>
  </si>
  <si>
    <t>No linkage to national registries:
LDCT: 0/6,583
Control: 13/6,612 (0.2%)
Attrition the same for surrogate and mortality outcomes.</t>
  </si>
  <si>
    <t>National registries and blinded review by expert mortality committee for most deaths in lung cancer cases.</t>
  </si>
  <si>
    <t>Most likely low, except remained unclear for some of the items, but reported elsewhere (https://pubmed.ncbi.nlm.nih.gov/19801174/)</t>
  </si>
  <si>
    <t>Anttila 2011 (#2584)</t>
  </si>
  <si>
    <t>Cervical cancer mortality; follow-up until 31/12/2007</t>
  </si>
  <si>
    <t>Target-cancer specific mortality; only timepoint available</t>
  </si>
  <si>
    <t>No marked differences in the distributions of women
and woman-years by attendance, age group and type of invitation between study arms.</t>
  </si>
  <si>
    <t>Same diagnosis and treatment between arms. No information on adherence.</t>
  </si>
  <si>
    <t>No data on "stage" missing.</t>
  </si>
  <si>
    <t>Unclear if there were any missing data on cause of death on women with cervical cancer.</t>
  </si>
  <si>
    <t>No people lost to follow-up.
Censored at emigration: 1,931 and 3,914.
Death from all causes: 3,745 and 7,327.
Unclear if any women with cervical cancer emigrated after the diagnosis.</t>
  </si>
  <si>
    <t>Population and cancer registries.</t>
  </si>
  <si>
    <t>Shastri 2014 (#2556)</t>
  </si>
  <si>
    <r>
      <rPr>
        <b/>
        <sz val="10"/>
        <color theme="1"/>
        <rFont val="Calibri"/>
        <family val="2"/>
        <scheme val="minor"/>
      </rPr>
      <t>Cervical cancer mortality</t>
    </r>
    <r>
      <rPr>
        <sz val="10"/>
        <color theme="1"/>
        <rFont val="Calibri"/>
        <family val="2"/>
        <scheme val="minor"/>
      </rPr>
      <t xml:space="preserve"> (per 100,000 PY) after 12 years (31/12/2011);
VIA (Cervix) vs control</t>
    </r>
  </si>
  <si>
    <t>At the baseline, a comparison of the important socio-demographic variables showed a good equivalence of the subjects in the screening and control arms.</t>
  </si>
  <si>
    <t xml:space="preserve">Same diagnosis and treatment offered for free to both arms.
After 12 years of follow-up: Cervical cancer treatment adherence - 86.3% in the screening group and 72.3% in the control group.
Absolute difference 14%.
</t>
  </si>
  <si>
    <t>VIA: 23/161 14.3%
Control: 36/166 (21.7%)
Total: 59/327 (18.0%)</t>
  </si>
  <si>
    <t>VIA: 23/161 14.3%
Control: 36/166 (21.7%)
Absolute difference: 7.4%</t>
  </si>
  <si>
    <t>No information on missing cause of death in cervical cancer patients.</t>
  </si>
  <si>
    <t>VIA: cumulative attrition of 21.5%.
Control: cumulative attrition of 22.6%.
Absolute difference: 1.1%</t>
  </si>
  <si>
    <t>Active monitoring at 24-month intervals by door-to-door survey by trained social workers, data matching with the ‘‘Mumbai Municipal Death Records’’ and the the population-based ‘‘Mumbai Cancer Registry’’.</t>
  </si>
  <si>
    <t>High risk as treatment adherence was lower in the control group, stage data were missing for more than 10% of cancer cases and missingness was &gt;5% different between arms.</t>
  </si>
  <si>
    <t>Mittra 2021 (#2566)</t>
  </si>
  <si>
    <t>Same diagnostic and treatment services as that received by women from the screening arm.
Free diagnosis and treatment at Tata Memorial Hospital.
Mmean adherence o to treatment was similar:
CBE: 98.88%;
Control: 97.63%.</t>
  </si>
  <si>
    <t>CBE: 41/640 (6.4%)
Control: 73/655 (11.1%)
Total: 114/1,295 (8.8%)</t>
  </si>
  <si>
    <t>CBE: 41/640 (6.4%)
Control: 73/655 (11.1%)
Absolute difference:
4.7%</t>
  </si>
  <si>
    <t>Cause of death could not be ascertained in 40 women. 
40/23,114 deaths (0.17%)</t>
  </si>
  <si>
    <t>No  information on missing data by arm.</t>
  </si>
  <si>
    <t>No information on attrition for 20-year follow-up.</t>
  </si>
  <si>
    <t>Blinded review by 2 experts, with involvement of a blinded 3rd reviewer incase of discrepancies.</t>
  </si>
  <si>
    <t>Osmanabad Cervix</t>
  </si>
  <si>
    <t>Sankar 2009 (#2612)</t>
  </si>
  <si>
    <t>Target cancer-specific mortality; only timepoint reported.</t>
  </si>
  <si>
    <t>Cluster randomisation; 13 cluster in each arm. The study groups were equally distributed in terms of household type, religion, education, occupation,
marital status, and number of pregnancies. Significant difference in age between the 4 groups (p=0.008) - mean age 40±0.7 (range 39-41) vs 39±0.6 (range 38-40) - seems not big enough to result in bias.</t>
  </si>
  <si>
    <t>Treatment rate of atypia/condyloma/CIN 1 higher in the cytology arm. Participation rates for diagnosis and treatment of CIN and invasive cancer satisfactory.</t>
  </si>
  <si>
    <r>
      <t xml:space="preserve">VIA: 5/157 (3.2%)
Cytology: 5/152 (3.3%)
HPV: 8/127 (6.3%)
Control: 3/118 (2.5%)
</t>
    </r>
    <r>
      <rPr>
        <b/>
        <sz val="10"/>
        <color theme="1"/>
        <rFont val="Calibri"/>
        <family val="2"/>
        <scheme val="minor"/>
      </rPr>
      <t>Total: 21/554 (3.8%)</t>
    </r>
  </si>
  <si>
    <r>
      <t xml:space="preserve">VIA: 5/157 (3.2%)
Cytology: 5/152 (3.3%)
HPV: 8/127 (6.3%)
Control: 3/118 (2.5%)
</t>
    </r>
    <r>
      <rPr>
        <b/>
        <sz val="10"/>
        <color theme="1"/>
        <rFont val="Calibri"/>
        <family val="2"/>
        <scheme val="minor"/>
      </rPr>
      <t>Absolute difference &lt;5 %.</t>
    </r>
  </si>
  <si>
    <t>Cause of death for each subject with cervical cancer in the district assessed by the cancer-registry staff after evaluation of data from hospital records, death certificates, house visits, and interviews of relatives or friends.
I was assuming no missing data but could also rate as 'No information'.</t>
  </si>
  <si>
    <t>Cause of death for each subject with cervical cancer in the district assessed by the cancer-registry staff after evaluation of data
from hospital records, death certificates, house visits, and interviews of relatives or friends.
I was assuming no missing data but could also rate as 'No information'.</t>
  </si>
  <si>
    <t>0 clusters lost to follow-up.
Attrition (e.g. migration) between cancer diagnosis and mortality analysis NR.</t>
  </si>
  <si>
    <t>Cancer registry, active case-finding methods; blinded outcome assessment performed by cancer registry personnel.</t>
  </si>
  <si>
    <t>Same methods used for all arms.</t>
  </si>
  <si>
    <t>District death registration offices, hospital records, and annual house visits. Cause of death for each subject with cervical cancer in the district assessed by blinded cancer-registry staff after evaluation of data from hospital records, death certificates, house visits, and interviews of relatives or friends.</t>
  </si>
  <si>
    <t>Piccioli 2004 (#11021)</t>
  </si>
  <si>
    <t>Cancer-related mortality after 2 years of follow-up</t>
  </si>
  <si>
    <t>Only mortality outcome and timepoint available.</t>
  </si>
  <si>
    <t>All characteristics did not differ statistical significantly between the groups.</t>
  </si>
  <si>
    <t>Offered treatment was current standard, but as different cancer types are treated between arms, the treatment offered might differ. No information on adherence to treatment.</t>
  </si>
  <si>
    <t>No missing data on cause of death in cancer patients.</t>
  </si>
  <si>
    <t>No attrition between cancer diagnosis and analysis of mortality.</t>
  </si>
  <si>
    <t>3, 12 and 24-month follow-up visits; all potential outcome events  assessed centrally by experts unaware of strategy assignment.</t>
  </si>
  <si>
    <t>Any</t>
  </si>
  <si>
    <t>D'Aquapendente</t>
  </si>
  <si>
    <t>Prandoni 2016 (#11136)</t>
  </si>
  <si>
    <t>Cancer-related mortality within 2 years of follow-up</t>
  </si>
  <si>
    <t>There was a statistically significant difference in the % of patients with DVT, but these were all patients with DVT, PE, or both</t>
  </si>
  <si>
    <t>Data on treatment adherence not reported, but patients in both arms would have been offered treatment according to current medical standards (and in line with their fragility etc.)</t>
  </si>
  <si>
    <t>1 patient moved out of the country so lost to FU in the second year, otherwise seems complete</t>
  </si>
  <si>
    <t>1/97 patient in the nonstandardised screening group lost to follow-up; 0 losses to follow-up in the CT + FOBT group.</t>
  </si>
  <si>
    <t>Although the trial was not blinded (this would not have been technically possible), it is not clear that staging was done with knowledge of trial allocation</t>
  </si>
  <si>
    <t>Same methods used in both arms.</t>
  </si>
  <si>
    <t>Although the trial was not blinded (this would not have been technically possible), it is not clear that cause of death allocation was done with knowledge of trial allocation.</t>
  </si>
  <si>
    <t>There is some uncertainty about staging and cause of death ascertainment but otherwise likely low risk</t>
  </si>
  <si>
    <t>Ji 2019 (#2639)</t>
  </si>
  <si>
    <t>NPC mortality (2009-2014)</t>
  </si>
  <si>
    <t>Interim analysis - Characteristics between the entire subjects of screening group and control group were generally similar, although slight unbalances were noted for the sex ratio and the median age between groups.</t>
  </si>
  <si>
    <t xml:space="preserve">No information on offered treatment and adherence, respectively. </t>
  </si>
  <si>
    <r>
      <t xml:space="preserve">Screening: 7/153 (4.6%)
Control: 7/99 (7.1%)
</t>
    </r>
    <r>
      <rPr>
        <b/>
        <sz val="10"/>
        <color theme="1"/>
        <rFont val="Calibri"/>
        <family val="2"/>
        <scheme val="minor"/>
      </rPr>
      <t>Total: 14/252 (5.6%)</t>
    </r>
  </si>
  <si>
    <r>
      <t xml:space="preserve">Screening: 7/153 (4.6%)
Control: 7/99 (7.1%)
</t>
    </r>
    <r>
      <rPr>
        <b/>
        <sz val="10"/>
        <color theme="1"/>
        <rFont val="Calibri"/>
        <family val="2"/>
        <scheme val="minor"/>
      </rPr>
      <t>Absolute difference: 2.5%</t>
    </r>
  </si>
  <si>
    <t>No information on missing data on cause of death.</t>
  </si>
  <si>
    <r>
      <t xml:space="preserve">Screening: 334/70,296 (0.5%) emigrated;
Control 323/50,636 (0.6%) emigrated
</t>
    </r>
    <r>
      <rPr>
        <b/>
        <sz val="10"/>
        <color theme="1"/>
        <rFont val="Calibri"/>
        <family val="2"/>
        <scheme val="minor"/>
      </rPr>
      <t>Difference in attrition between surrogate and mortality outcomes &lt;5%.</t>
    </r>
  </si>
  <si>
    <t>Annual blinded review by an expert panel (2 radiologists, 2 pathologists, and 2 oncologists)</t>
  </si>
  <si>
    <t>Same for both arms.</t>
  </si>
  <si>
    <t>Death Registry and Population Registry; no information on blinding</t>
  </si>
  <si>
    <t>No. Same for both arms.</t>
  </si>
  <si>
    <t>Gohagan 2005 (#610)</t>
  </si>
  <si>
    <t>Lung cancer mortality (per 1,000 PY); median follow-up of 5.2 years (through 2005);
LDCT vs CXR screening</t>
  </si>
  <si>
    <t>Doroudi 2018 (#616)</t>
  </si>
  <si>
    <t>Only target specific mortality time point available</t>
  </si>
  <si>
    <t>No comparison explicitly conducted but descriptive stats suggest arms were similar in terms of sex, age, smoking status, and smoking history</t>
  </si>
  <si>
    <t>No common diagnostic algorithm, referral to their personal health care providers. No information on offered treatment and adherence.</t>
  </si>
  <si>
    <t>LDCT: 2/40 (5%)
CXR: 2/20 (10%)
Total: 4/60 (6.7%)</t>
  </si>
  <si>
    <t>LDCT: 2/40 (5%)
CXR: 2/20 (10%)
Absolute difference: 5%
Borderline though!</t>
  </si>
  <si>
    <t>Table 1 in #616 suggests that there were no missing data on cause of death.</t>
  </si>
  <si>
    <r>
      <rPr>
        <sz val="10"/>
        <rFont val="Calibri"/>
        <family val="2"/>
        <scheme val="minor"/>
      </rPr>
      <t xml:space="preserve"> </t>
    </r>
    <r>
      <rPr>
        <sz val="10"/>
        <color rgb="FF00B050"/>
        <rFont val="Calibri"/>
        <family val="2"/>
        <scheme val="minor"/>
      </rPr>
      <t>N</t>
    </r>
    <r>
      <rPr>
        <sz val="10"/>
        <color theme="1"/>
        <rFont val="Calibri"/>
        <family val="2"/>
        <scheme val="minor"/>
      </rPr>
      <t xml:space="preserve"> </t>
    </r>
  </si>
  <si>
    <t>No information on attrition.</t>
  </si>
  <si>
    <t>Medical records; a certified tumor registrar confirmed all reported lung cancers and abstracted their TNM stage, grade and histologic type. No information on blinding.</t>
  </si>
  <si>
    <t>Linkage with the National Death Index; underlying cause of death variable was used to classify deaths into lung-cancer- or non-lung cancer-related.</t>
  </si>
  <si>
    <t>The cut off is arbitrary, but that is the rule we set!
Low n = 1
High n = 1
Unclear n = 2
NA n = 1</t>
  </si>
  <si>
    <t>Segnan 2011 (#8509)</t>
  </si>
  <si>
    <t>CRC mortality; follow-up until 31/12/2007 (median 11.4 years)</t>
  </si>
  <si>
    <t>very similar gender and age distributions, and family history of CRC and hsitory of colorectal endoscopy (Senore 2022)</t>
  </si>
  <si>
    <t>No information on treatment of CRC and adherence to treatment.</t>
  </si>
  <si>
    <t>No missing cause of death data for CRC patients.</t>
  </si>
  <si>
    <t>Blinded review of death certificates from CRC cases (supplemented by clinical information, when available) by independent panel of experts from the population cancer registries covering the trial centers. If using data from #283, no blinded review for the most recent years though.</t>
  </si>
  <si>
    <t>Lung cancer mortality (per 1,000 PY); follow-up until 29 February 2020;
Screening vs control</t>
  </si>
  <si>
    <t>MVTEP</t>
  </si>
  <si>
    <t>Robin 2016 (#111388)</t>
  </si>
  <si>
    <t>Cancer-related mortality during 24-month follow-up</t>
  </si>
  <si>
    <t>Robin 2016 (#11138)</t>
  </si>
  <si>
    <t>Table 1 suggests no imbalances</t>
  </si>
  <si>
    <t>Likely all cancers would receive the same/similar treatment regardless of trial arm allocation, as treatment was decided by the treatign physician and they are bound by routine guidelines</t>
  </si>
  <si>
    <t>No missing data on cause of death.</t>
  </si>
  <si>
    <t>6/197 (3.0%) and 4/197 (2.0%) LTFU.
Absolute difference: 1%</t>
  </si>
  <si>
    <t>All patients underwent follow-up in the clinic at 3, 6, 12, 18, and 24 months. Investigators unblinded.</t>
  </si>
  <si>
    <t>High risk due to unblinded outcome assessment.</t>
  </si>
  <si>
    <t>Zhang 2004 (#2629)</t>
  </si>
  <si>
    <t>HCC mortality (per 100,000 PY); follow-up until 31 December 1997</t>
  </si>
  <si>
    <t>Target-cancer specific mortality; same cancers as in surrogate outcome; only timepoint available</t>
  </si>
  <si>
    <t>Randomization was effective in creating a balance between two groups in terms of age and sex.  The age and sex distributions of the groups did not change substantially among the study.</t>
  </si>
  <si>
    <t>Liver cancer was treated according to stage at diagnosis. 
Treatment received (Screening / Control)
Resection: 40 (46.5%) / 5 (7.5%)
Transcatheter arterial chemoembolization / percutaneous ethanol injection: 28 (32.6%) / 28 (41.8%)
Conservative treatment: 18 (20.9%) / 34 (50.7%)</t>
  </si>
  <si>
    <t>No missing data for clinical stage.</t>
  </si>
  <si>
    <t>No information.</t>
  </si>
  <si>
    <t>GPs in the factories, enterprises, and schools; cross-check with the Shanghai Cancer Registry in early 1999</t>
  </si>
  <si>
    <t>No 'high risk' ratings in any domain, but no information available to judge risk of bias for missingness of mortality data, attrition, validity and reliability of outcome assessment.</t>
  </si>
  <si>
    <t>Sankar 2007 (#2594)</t>
  </si>
  <si>
    <t>Cervical cancer mortality; follow-up until 31/12/2006</t>
  </si>
  <si>
    <t>The study groups were well balanced for distribution of religion, occupation, income, and menopause, but some differences were observed for age,
education, marital status, and parity.</t>
  </si>
  <si>
    <t>No information on treatment offered and adherence in the control group.</t>
  </si>
  <si>
    <r>
      <t xml:space="preserve">Control: 44/158 (27·9%)
VIA: 29/167 (17·3%)
</t>
    </r>
    <r>
      <rPr>
        <b/>
        <sz val="10"/>
        <color theme="1"/>
        <rFont val="Calibri"/>
        <family val="2"/>
        <scheme val="minor"/>
      </rPr>
      <t>Total: 73/325 (22.5%)</t>
    </r>
  </si>
  <si>
    <r>
      <t xml:space="preserve">Control: 44/158 (27·9%)
VIA: 29/167 (17·3%)
</t>
    </r>
    <r>
      <rPr>
        <b/>
        <sz val="10"/>
        <color theme="1"/>
        <rFont val="Calibri"/>
        <family val="2"/>
        <scheme val="minor"/>
      </rPr>
      <t>Absolute difference:
10.5%</t>
    </r>
  </si>
  <si>
    <t>No information on missing cause of death in cervical cancer cases.</t>
  </si>
  <si>
    <t>ITT, same analysis date; unclear if any cervical cancer cases were lost or migrated after diagnosis.</t>
  </si>
  <si>
    <t>Blinded assessment using 64 data sources</t>
  </si>
  <si>
    <t>Cause of death in each cervical cancer case coded using ICD-10 by blinded registry staff considering information from hospital records, death certificates, by house visits, and interviewing relatives and friends.</t>
  </si>
  <si>
    <t>High risk due to missing stage data for &gt;10% and an absolute difference in missingness between arms of &gt;5% as well as significant baseline imbalances between the two arms.</t>
  </si>
  <si>
    <t>Trivandrum Oral</t>
  </si>
  <si>
    <t>Sankar 2005 (#2643)</t>
  </si>
  <si>
    <t>Oral cancer mortality (per 100,000 PY);
Follow-up until 31/12/2004;
Screening vs control</t>
  </si>
  <si>
    <t>7 and 6 clusters randomised. No information on baseline cluster characteristics.
Study groups well balanced; proportion of smokers was slightly higher in the intervention group.</t>
  </si>
  <si>
    <t xml:space="preserve">Nonsmokers with nonexcisable, nonhomogeneous leukoplakias in screening arm were randomized to a prevention trial with vitamin A, but unclear whether their number was small or substantial. </t>
  </si>
  <si>
    <t>Screening: 16/205 (7.8%)
Control: 16/158 (10.1%)
Total: 32/363 (8.8%)</t>
  </si>
  <si>
    <t>Screening: 16/205 (7.8%)
Control: 16/158 (10.1%)
Absolute difference:
2.3%</t>
  </si>
  <si>
    <t>No information on attrition. Surrogate and mortality outcomes measured at the same analysis date though.</t>
  </si>
  <si>
    <t>Trivandrum population-based cancer registry, hospital cancer registry of the RCC, and many other sources including medical records departments of the local hospitals, histopathology registers of pathology laboratories, municipal death registers, and death records of churches and mosques. House visits and telephone enquiries. No information on blinding.</t>
  </si>
  <si>
    <t>Municipal death registers, and death records of churches and mosques, house visits and telephone enquiries. 3 physicians assessed information on death in oral cancer patients unaware of screening status.</t>
  </si>
  <si>
    <t>Agreed to class as unclear risk.</t>
  </si>
  <si>
    <t>Atkin 2010 (#108)</t>
  </si>
  <si>
    <t>CRC mortality; cause of death verified; per 100,000 PY; follow-up until 31/12/2008</t>
  </si>
  <si>
    <t>There were 29 105 (51%) women in the intervention group and 57 602 (51%) in the control group, and the mean age was 60 years (SD 2·9) in both groups.</t>
  </si>
  <si>
    <t>No information on cancer treatment and treatment adherence, respectively.</t>
  </si>
  <si>
    <t>No missing data on cause of death reported.</t>
  </si>
  <si>
    <t>National Health Service Central Register (NHSCR), causes of death as noted in the death certificate provided by the Office for National Statistics (ONS). 2nd analysis after blinded verification of assignment of CRC as an underlying cause of death; death certificates supplemented by clinical information by an expert and independent coder.</t>
  </si>
  <si>
    <t>Carrier 2015 (#11142)</t>
  </si>
  <si>
    <t>Cancer-related mortality after 1 year of follow-up</t>
  </si>
  <si>
    <t>Cancer-specific mortality; only timepoint reported.</t>
  </si>
  <si>
    <t>agree</t>
  </si>
  <si>
    <t>Agreed to rate as 'unclear'</t>
  </si>
  <si>
    <t>No information on missing stage data.</t>
  </si>
  <si>
    <t>Discontinued follow-up: 15 (+torso CT) and 17 (limited screening only).
   Lost to follow-up: 5 and 8.
   Withdrew consent: 5 and 3.
   Death: 5 and 6.</t>
  </si>
  <si>
    <r>
      <rPr>
        <sz val="10"/>
        <color rgb="FF00B050"/>
        <rFont val="Calibri"/>
        <family val="2"/>
        <scheme val="minor"/>
      </rPr>
      <t>Y</t>
    </r>
    <r>
      <rPr>
        <sz val="10"/>
        <color rgb="FFFF0000"/>
        <rFont val="Calibri"/>
        <family val="2"/>
        <scheme val="minor"/>
      </rPr>
      <t xml:space="preserve"> </t>
    </r>
  </si>
  <si>
    <t>"A central adjudication committee whose
members were unaware of the study-group assignments
reviewed all suspected outcome events."</t>
  </si>
  <si>
    <t>Agreed to rate as unclear risk of bias</t>
  </si>
  <si>
    <t>Duffy 2020 (#4257)</t>
  </si>
  <si>
    <t>Moss 2015 (#4226)</t>
  </si>
  <si>
    <t>No differences in age.
Stratification by GP practice ensured a similar distribution by geographical area in each group of the trial.</t>
  </si>
  <si>
    <t>We did not collect treatment data for women diagnosed with breast cancer in either group of the trial because these data were not routinely available.</t>
  </si>
  <si>
    <r>
      <t xml:space="preserve">Study arm: 38/835 (4.6%)
Control arm: 121/1,628 (7.4%)
</t>
    </r>
    <r>
      <rPr>
        <b/>
        <sz val="10"/>
        <color theme="1"/>
        <rFont val="Calibri"/>
        <family val="2"/>
        <scheme val="minor"/>
      </rPr>
      <t>Total: 159/2,463 (6.5%)</t>
    </r>
  </si>
  <si>
    <r>
      <t xml:space="preserve">Study arm: 38/835 (4.6%)
Control arm: 121/1,628 (7.4%)
</t>
    </r>
    <r>
      <rPr>
        <b/>
        <sz val="10"/>
        <color theme="1"/>
        <rFont val="Calibri"/>
        <family val="2"/>
        <scheme val="minor"/>
      </rPr>
      <t>Absolute difference: 2.8%</t>
    </r>
  </si>
  <si>
    <t>No information on people who had cause of death not stated on death certificate.</t>
  </si>
  <si>
    <t>Surrogate: end of intervention period (latest follow-up possible until 2006ish);
Mortality:31/12/2011;
between 10 and 17 years of follow-up, 650+1,183=1,833 lost to follow-up because of
emigration (1,833/160,786=1.1%)</t>
  </si>
  <si>
    <t xml:space="preserve">Up to the end of 2009 supplied to the triallists. In addition, pathology reviewed and the pathological variables reclassified by a blinded panel of three expert breast pathologists. This included all cancers diagnosed in the intervention phase of the trial. </t>
  </si>
  <si>
    <t>NHS Central Register (NHSCR); deaths with breast cancer coded as the underlying cause of death</t>
  </si>
  <si>
    <t>Doria-Rose 2009 (#10966)</t>
  </si>
  <si>
    <t>Lung cancer mortality (per 100 men randomised); follow-up until 9 years since study entry;
Dual screen vs X-ray only</t>
  </si>
  <si>
    <t>Same diagnostics and treatment offered in both arms, but no information on adherence.</t>
  </si>
  <si>
    <t>Dual screen: 12/172 (7.0%)
X-ray: 12/171 (7.0%)
Total: 24/343 (7.0%)</t>
  </si>
  <si>
    <t>Dual screen: 12/172 (7.0%)
X-ray: 12/171 (7.0%)
Absolute difference: 0%</t>
  </si>
  <si>
    <t xml:space="preserve">Loss to follow-up was defined as occurring when a subject who was alive at last contact was not followed through the time of their expected 5th-year screening visit.
Dual screen: 63 (1.3%) but contributed some PY.
X-ray only: 52 (1.0%) but contributed some PY.
Absolute difference: 0.3%
</t>
  </si>
  <si>
    <t>#643</t>
  </si>
  <si>
    <t>Lung cancer mortality, follow-up until 15 May 2013</t>
  </si>
  <si>
    <t>Longest follow-up time available</t>
  </si>
  <si>
    <t>For LDCT arm: Work-up protocol of doubtful pulmonary nodules found on LDCT not rigid; could be adjusted on the basis of personal preferences, experience and availability of facilities.
Control arm: supplementary diagnostic testing as appropriate.
No information on adherence to treatment.</t>
  </si>
  <si>
    <t>LDCT: 7/104 (6.7%)
Control: 6/72 (8.3%)
Total: 13/176 (7.4%)</t>
  </si>
  <si>
    <t xml:space="preserve">LDCT: 7/104 (6.7%)
Control: 6/72 (8.3%)
Absolute differece: 1.6%
</t>
  </si>
  <si>
    <t>LDCT: 2/180 (1.1%)
Control: 0/176 (0%)
Total: 2/356 (0.56%)</t>
  </si>
  <si>
    <t>LDCT: 2/180 (1.1%)
Control: 0/176 (0%)
Absolute difference: 1.1%</t>
  </si>
  <si>
    <t>The chosen surrogate and mortality outcomes both have an analysis date of 15 May 2013, so the attrition should be the same.</t>
  </si>
  <si>
    <t>Not reported in #643.
#645 states: Hospital records or the family physician's records if the patient did not die in hospital;
no information if assessment was blinded to trial arm</t>
  </si>
  <si>
    <t>Local health registries; death certificates were cross-checked with hospital records and/or with written reports provided by the attending physicians or by the family doctor. A panel blinded to patients’ assignment reviewed the clinical cases whenever several competing causes of death were possible.</t>
  </si>
  <si>
    <t>Becker 2020 (#433)</t>
  </si>
  <si>
    <t>"the LUSI trial showed successful baseline randomization to the LDCT and control arms with regard to past smoking history and other risk factors." Though doesn't explicitly report this information</t>
  </si>
  <si>
    <t>No information available</t>
  </si>
  <si>
    <t>Same methods for both arms.</t>
  </si>
  <si>
    <t>Roberts 1990 #3757</t>
  </si>
  <si>
    <t>Breast cancer mortality after 7 years of follow-up (cohort 1)</t>
  </si>
  <si>
    <t>Discussion says that power calculations are based on 7 years</t>
  </si>
  <si>
    <t>imbalance of arms recognised, reported 15% lower all cause mortality in study than control arm, some of that explaind by socioeconomic classification</t>
  </si>
  <si>
    <t>Once the patient had been referred to the breast unit treatment proceeded independently of the fact that screening had been done. Follow-up was the same between arms.</t>
  </si>
  <si>
    <r>
      <t xml:space="preserve">Stage not known:
Intervention: 1/395 (0.25%)
Control: 5/268 (1.87%)
</t>
    </r>
    <r>
      <rPr>
        <b/>
        <sz val="10"/>
        <color theme="1"/>
        <rFont val="Calibri"/>
        <family val="2"/>
        <scheme val="minor"/>
      </rPr>
      <t>Total: 6/663 (0.9%)</t>
    </r>
  </si>
  <si>
    <r>
      <t xml:space="preserve">Stage not known:
Intervention: 1/395 (0.25%)
Control: 5/268 (1.87%)
</t>
    </r>
    <r>
      <rPr>
        <b/>
        <sz val="10"/>
        <color theme="1"/>
        <rFont val="Calibri"/>
        <family val="2"/>
        <scheme val="minor"/>
      </rPr>
      <t>Absolute difference: 1.6%</t>
    </r>
  </si>
  <si>
    <t>censoring and missingness not reported at all</t>
  </si>
  <si>
    <t>study flow, loss to follow-up and missing data generally not reported</t>
  </si>
  <si>
    <t>no information on blinding</t>
  </si>
  <si>
    <t>High risk due to imbalance of arms recognised, reported 15% lower all cause mortality in study than control arm, some of that explaind by socioeconomic classification.</t>
  </si>
  <si>
    <t>CNBSS-1</t>
  </si>
  <si>
    <t>For both trials, the characteristics of the women in the two groups were similar; minimal differences, less than 1% for a given characteristic in most instances.
No evidence of randomisation bias.</t>
  </si>
  <si>
    <t>Treatment by specialists chosen by family doctor, not influenced by the study team.
Canada has a universal healthcare system. No financial barrier exists to accessing appropriate diagnostic investigation or treatment.
No informatio on adherence.</t>
  </si>
  <si>
    <t>CNBSS-2</t>
  </si>
  <si>
    <t>Schroder 2012 (#10548)</t>
  </si>
  <si>
    <t>prostate cancer deaths;
whole trial excluding France; age 55-69 years;
up to 31/12/2008</t>
  </si>
  <si>
    <t>The validity of randomization was determined by comparing the age distributions and the rates of death from any cause in the two study groups.</t>
  </si>
  <si>
    <t>Schroder 2012: Earlier analyses showed similar treatment approaches in
the two study groups according to tumor stage.</t>
  </si>
  <si>
    <r>
      <t xml:space="preserve">Screening: 428/6,963 (6.1%)
Control: 487/5,396 (9.0%)
</t>
    </r>
    <r>
      <rPr>
        <b/>
        <sz val="10"/>
        <color theme="1"/>
        <rFont val="Calibri"/>
        <family val="2"/>
        <scheme val="minor"/>
      </rPr>
      <t>Total: 915/12,359 (7.4%)</t>
    </r>
  </si>
  <si>
    <r>
      <t xml:space="preserve">Screening: 428/6,963 (6.1%)
Control: 487/5,396 (9.0%)
</t>
    </r>
    <r>
      <rPr>
        <b/>
        <sz val="10"/>
        <color theme="1"/>
        <rFont val="Calibri"/>
        <family val="2"/>
        <scheme val="minor"/>
      </rPr>
      <t>Absolute difference:</t>
    </r>
    <r>
      <rPr>
        <sz val="10"/>
        <color theme="1"/>
        <rFont val="Calibri"/>
        <family val="2"/>
        <scheme val="minor"/>
      </rPr>
      <t xml:space="preserve"> 2.9%</t>
    </r>
  </si>
  <si>
    <t>Unclear if there were any prostate cancer cases with missing cause of death.</t>
  </si>
  <si>
    <t>Causes of death from registries and individual chart review, were assigned according to definitions and procedures developed for the trial. A committee that analyzed causes of death blinded to study arm was formed at each center, and an international committee coordinated the work of these national committees.</t>
  </si>
  <si>
    <t>ERSPC Pilot 1</t>
  </si>
  <si>
    <t>Osses 2019 (#10394)</t>
  </si>
  <si>
    <t>Prostate cancer mortality;
median 19 years of follow-up</t>
  </si>
  <si>
    <t>Only report median age for both groups combined.</t>
  </si>
  <si>
    <t xml:space="preserve">No information by stage.
In the S-arm, 75% of the PCa underwent treatment versus 25% underwent surveillance. In the C-arm, 53% of the PCa cases underwent treatment versus 30% underwent surveillance (in 17% of the cases in C-arm, the choice of treatment was unknown).
</t>
  </si>
  <si>
    <r>
      <t xml:space="preserve">Screening: 9/71 (12.7%)
Control: 3/57 (5.3%)
</t>
    </r>
    <r>
      <rPr>
        <b/>
        <sz val="10"/>
        <color theme="1"/>
        <rFont val="Calibri"/>
        <family val="2"/>
        <scheme val="minor"/>
      </rPr>
      <t>Total: 12/128 (9.4%)</t>
    </r>
  </si>
  <si>
    <r>
      <t xml:space="preserve">Screening: 9/71 (12.7%)
Control: 3/57 (5.3%)
</t>
    </r>
    <r>
      <rPr>
        <b/>
        <sz val="10"/>
        <color theme="1"/>
        <rFont val="Calibri"/>
        <family val="2"/>
        <scheme val="minor"/>
      </rPr>
      <t>Absolute difference: 7.4%</t>
    </r>
  </si>
  <si>
    <t>No information on missing causes of death.</t>
  </si>
  <si>
    <t>No information on source and method.</t>
  </si>
  <si>
    <t>Possibly same method used for both arms.</t>
  </si>
  <si>
    <t>High risk due to absolute difference in missingness for Gleason score &gt;5% between arms.</t>
  </si>
  <si>
    <t>Koskenvuo 2019 (#278)</t>
  </si>
  <si>
    <t>CRC mortality in men in women (or separately by sex); follow-up until 31/12/2012</t>
  </si>
  <si>
    <t>Pitkaniemi 2015 (#270)</t>
  </si>
  <si>
    <t>Target cancer-specific mortality; only timepoint available</t>
  </si>
  <si>
    <t>No information on missing  cause of death.</t>
  </si>
  <si>
    <t>Surrogate end date: 31/12/2011
Mortality end date: 31/12/2012
No information on attrition between these time points.</t>
  </si>
  <si>
    <t>Finnish Cancer Registry; identified hospitals treating the patients with CRC; clinical and pathological UICC TNM stage extracted manually from medical records.</t>
  </si>
  <si>
    <t>Central Population Register; cause of death obtained from Statistics Finland</t>
  </si>
  <si>
    <t>Kronborg 1996 (#226)</t>
  </si>
  <si>
    <t>CRC mortality (per 1,000 PY); death from CRC and complications from treatment (per 1,000 PY); August 1985 - August 1995</t>
  </si>
  <si>
    <t>Target-cancer specific mortality; same analysis date as chosen surrogate; planned follow-up was 5 years after 5 year intervention period.</t>
  </si>
  <si>
    <t>The randomized groups were very similar with regard to distribution of sex and residency, and similar to the remaining 80,000 persons between 45 and 74 years old.</t>
  </si>
  <si>
    <t>Local surgery, including polypectomy for CRC, was done in 49 (10%) of the 481 screening-group participants and in 24 (5%) of the 483 controls (p&lt;0·01). Curative surgery was achieved in 331 patients in the screening group and in
287 controls (p&lt;0·01).
Differences in received treatment but might be due to stage at diagosis.</t>
  </si>
  <si>
    <r>
      <t xml:space="preserve">No classification:
FOBT: 24/481 (5%)
Control: 27/483 (5%)
</t>
    </r>
    <r>
      <rPr>
        <b/>
        <sz val="10"/>
        <color theme="1"/>
        <rFont val="Calibri"/>
        <family val="2"/>
        <scheme val="minor"/>
      </rPr>
      <t xml:space="preserve">Total: 51/964 (5%)
</t>
    </r>
    <r>
      <rPr>
        <sz val="10"/>
        <color theme="1"/>
        <rFont val="Calibri"/>
        <family val="2"/>
        <scheme val="minor"/>
      </rPr>
      <t>Paper defined advanced CRC as Dukes' C, distant spread or CRC with no classification.</t>
    </r>
  </si>
  <si>
    <r>
      <t xml:space="preserve">No classification:
FOBT: 24/481 (5%)
Control: 27/483 (5%)
</t>
    </r>
    <r>
      <rPr>
        <b/>
        <sz val="10"/>
        <color theme="1"/>
        <rFont val="Calibri"/>
        <family val="2"/>
        <scheme val="minor"/>
      </rPr>
      <t>Absolute difference: 0.6%</t>
    </r>
  </si>
  <si>
    <r>
      <t xml:space="preserve">Missing cause of death in all deaths:
FOBT: 464/6,228 (7.4%)
Control: 488/6,303 (7.7%)
</t>
    </r>
    <r>
      <rPr>
        <b/>
        <sz val="10"/>
        <color theme="1"/>
        <rFont val="Calibri"/>
        <family val="2"/>
        <scheme val="minor"/>
      </rPr>
      <t>Total: 952/12,531 (7.6%)</t>
    </r>
    <r>
      <rPr>
        <sz val="10"/>
        <color theme="1"/>
        <rFont val="Calibri"/>
        <family val="2"/>
        <scheme val="minor"/>
      </rPr>
      <t xml:space="preserve">
</t>
    </r>
  </si>
  <si>
    <r>
      <t xml:space="preserve">Missing cause of death in all deaths:
FOBT: 464/6,228 (7.4%)
Control: 488/6,303 (7.7%)
</t>
    </r>
    <r>
      <rPr>
        <b/>
        <sz val="10"/>
        <color theme="1"/>
        <rFont val="Calibri"/>
        <family val="2"/>
        <scheme val="minor"/>
      </rPr>
      <t>Absolute difference: 0.3%</t>
    </r>
  </si>
  <si>
    <t>Of the 49 402 people who were alive at the end of the follow-up, 1145 had moved away from Funen and six had emigrated from Denmark.
Maximum possible difference in attrition:
Surrogate: 0%
Mortality: 1145+6=1,151/61,933 (1.9%)</t>
  </si>
  <si>
    <t>Dukes’ staging of tumours and classification of adenomas done by one investigator under masked conditions.</t>
  </si>
  <si>
    <t>Blinded assessment of death certificates for cause of death; referral to independent review committee if unclear if CRC was cause of death.</t>
  </si>
  <si>
    <t>Bjurstam 2016 (#4052)</t>
  </si>
  <si>
    <t>Bjurstam 2003 (#4053)</t>
  </si>
  <si>
    <r>
      <t xml:space="preserve">Node Status Not Known/
Nodes Not Examined:
Study: 27/272 (9.9%)
Control: 42/417 (10.1%)
</t>
    </r>
    <r>
      <rPr>
        <b/>
        <sz val="10"/>
        <color theme="1"/>
        <rFont val="Calibri"/>
        <family val="2"/>
        <scheme val="minor"/>
      </rPr>
      <t>Total: 69/689 (10.0%)</t>
    </r>
  </si>
  <si>
    <r>
      <t xml:space="preserve">Node Status Not Known/
Nodes Not Examined:
Study: 27/272 (9.9%)
Control: 42/417 (10.1%)
</t>
    </r>
    <r>
      <rPr>
        <b/>
        <sz val="10"/>
        <color theme="1"/>
        <rFont val="Calibri"/>
        <family val="2"/>
        <scheme val="minor"/>
      </rPr>
      <t>Absolute difference &lt;5%</t>
    </r>
  </si>
  <si>
    <t>No information on missing causes of death</t>
  </si>
  <si>
    <t>No information on attrition</t>
  </si>
  <si>
    <t>Cancers were ascertained from the National Cancer Registry, which was augmented by local medical records. No information on blinding.</t>
  </si>
  <si>
    <t>Local follow-up and the Swedish Cancer Register backed up by the Swedish Cause of Death Register; 2 independent
endpoint committees classified the
underlying cause of death from blinded patient records according to the same protocol.</t>
  </si>
  <si>
    <t>Lindholm 2008 (#243)</t>
  </si>
  <si>
    <t>CRC mortality (all cohorts: DOB 1918-1931); up to 31/12/2001;</t>
  </si>
  <si>
    <t>Target cancer-specific mortality; only analysis date available for mortality</t>
  </si>
  <si>
    <t>No information on baseline differences between arms.</t>
  </si>
  <si>
    <t>All adenomas were excised in both groups endoscopically or, if this was not possible due to size, surgically.
The same colorectal cancer treatment principles were applied in the screening and control groups. 
No information on adherence.</t>
  </si>
  <si>
    <t>No missing data for Dukes' stage.</t>
  </si>
  <si>
    <t>The underlying cause was obtained for 99·1 per cent of all deaths in the total study population.</t>
  </si>
  <si>
    <t>The underlying cause was obtained for 99·1 per cent of all deaths in the total study population.
No separate data by arm but can't be &gt;5% difference.</t>
  </si>
  <si>
    <t>Same analysis date for both outcomes. Of the total study population 532 individuals (0·8 per cent) had emigrated from Sweden. All individuals could be traced at follow-up, except for a known number of emigrants.</t>
  </si>
  <si>
    <t>CRC - register at the Department of Pathology and the National Cancer Register.
Staging of all CRC mainly done by 1 pathologist according to the Turnbull modification of Dukes’ staging system.
No information on blinding.</t>
  </si>
  <si>
    <t xml:space="preserve">Swedish National Population Register; Natinal Death Register for for time and cause of death; an independent, blinded reviewer evaluated if any uncertainty about the cause of death. </t>
  </si>
  <si>
    <t>Shapiro 1977 (#4878)</t>
  </si>
  <si>
    <t>Good agreement as to age, education,
prior pregnancies, menopausal status, and history of breast lumps.</t>
  </si>
  <si>
    <t>No information on treatment and adherence to treatment.</t>
  </si>
  <si>
    <r>
      <t xml:space="preserve">Unknown node involvement:
Study arm: 27/299 (9.0%)
Control arm: 34/285 (11.9%)
</t>
    </r>
    <r>
      <rPr>
        <b/>
        <sz val="10"/>
        <color theme="1"/>
        <rFont val="Calibri"/>
        <family val="2"/>
        <scheme val="minor"/>
      </rPr>
      <t>Total: 61/584 (10.4%)</t>
    </r>
  </si>
  <si>
    <r>
      <t xml:space="preserve">Unknown node involvement:
Study arm: 27/299 (9.0%)
Control arm: 34/285 (11.9%)
</t>
    </r>
    <r>
      <rPr>
        <b/>
        <sz val="10"/>
        <color theme="1"/>
        <rFont val="Calibri"/>
        <family val="2"/>
        <scheme val="minor"/>
      </rPr>
      <t>Absolute difference &lt;5%</t>
    </r>
  </si>
  <si>
    <r>
      <t xml:space="preserve">45% left the (HIP) Plan by 10 years after entry.
Information about breast cancer and mortality status available for 5 and 10 after entry:
Study group: 87.6%, 82.0% 
Control group: 84.5%, 80.2%
</t>
    </r>
    <r>
      <rPr>
        <b/>
        <sz val="10"/>
        <color theme="1"/>
        <rFont val="Calibri"/>
        <family val="2"/>
        <scheme val="minor"/>
      </rPr>
      <t>Total: ~86.05% - 81.1% = 4.95%</t>
    </r>
  </si>
  <si>
    <t>Patient's medical record in HIP and records of hospital admissions; surgical and pathological findings in breast cancer cases obtained
from hospital charts; project's coordinating pathologist blindly reviews slides and conducts special studies of tissue blocks, when available. 
No uniform pathology protocol was used by the many hospitals where biopsies were performed; the number of nodes dissected varied widely among the hospitals.</t>
  </si>
  <si>
    <t>High risk due to missing data on nodal involvement &gt;10%. Difference in attrition between 5 and 10 years of follow-up also around 5%.</t>
  </si>
  <si>
    <t>Lung cancer mortality (per 10,000 PY);
Follow-up until 31 December 2014;
Screening vs control</t>
  </si>
  <si>
    <t>SAP: 10 years after randomisation</t>
  </si>
  <si>
    <t>No information on offered treatment and adherence to treatment, respectively.</t>
  </si>
  <si>
    <t>Screening: 5/67 (7%)
Control: 15/71 (21%) (p=0.005)
Total: 20/138 (14.5%)</t>
  </si>
  <si>
    <t>Screening: 5/67 (7%)
Control: 15/71 (21%) (p=0.005)</t>
  </si>
  <si>
    <t>No data missing on cause of death.</t>
  </si>
  <si>
    <t>Same method used in both arms.</t>
  </si>
  <si>
    <t>Population mortality registries and included a check for residential status. An independent committee reviewed and revised the causes of death in a blinded fashion in 31 (9%) of deaths.</t>
  </si>
  <si>
    <t>High risk of bias due to total missing stage data &gt;10%, with &gt;5% absolute difference between the arms.</t>
  </si>
  <si>
    <t>Paci 2017 (#670)</t>
  </si>
  <si>
    <t>MMST I</t>
  </si>
  <si>
    <t>Andersson 1988 (#3852)</t>
  </si>
  <si>
    <t>Breast cancer mortality until 31/12/1986</t>
  </si>
  <si>
    <t xml:space="preserve">Predetermined end of trial was 31/12/1986; same cancers included as in surrogate outcome; no additional follow-up time though </t>
  </si>
  <si>
    <t>Age distribution between the 2 arms very similar</t>
  </si>
  <si>
    <t>Breast cancer was treated according to stage at diagnosis mainly (98%) at one hospital for somatic diseases by a team specialising in breast diseases. All patients were treated according to the same principles.
Only minor differences in treatment between the study group and the control group with respect to stage 0 disease. As no women with stage 0 cancer died this somewhat skewed distribution of treatment unimportant.</t>
  </si>
  <si>
    <r>
      <t xml:space="preserve">Study group: 9/588 (0.16%)
Control group: 4/447 (0.89%)
</t>
    </r>
    <r>
      <rPr>
        <b/>
        <sz val="10"/>
        <color theme="1"/>
        <rFont val="Calibri"/>
        <family val="2"/>
        <scheme val="minor"/>
      </rPr>
      <t>Total: 13/1,035 (1.3%)</t>
    </r>
  </si>
  <si>
    <r>
      <t xml:space="preserve">Study group: 9/588 (0.16%)
Control group: 4/447 (0.89%)
</t>
    </r>
    <r>
      <rPr>
        <b/>
        <sz val="10"/>
        <color theme="1"/>
        <rFont val="Calibri"/>
        <family val="2"/>
        <scheme val="minor"/>
      </rPr>
      <t>Absolute difference &lt;5%.</t>
    </r>
  </si>
  <si>
    <r>
      <t xml:space="preserve">Other causes of death (should include unknown);
study group: 89/1,777 (5.0%)
control group: 102/1,809 (5.6%)
</t>
    </r>
    <r>
      <rPr>
        <b/>
        <sz val="10"/>
        <color theme="1"/>
        <rFont val="Calibri"/>
        <family val="2"/>
        <scheme val="minor"/>
      </rPr>
      <t>Total: 191/3,586 (5.3%)</t>
    </r>
  </si>
  <si>
    <r>
      <t xml:space="preserve">Other causes of death (should include unknown);
study group: 89/1,777 (5.0%)
control group: 102/1,809 (5.6%)
</t>
    </r>
    <r>
      <rPr>
        <b/>
        <sz val="10"/>
        <color theme="1"/>
        <rFont val="Calibri"/>
        <family val="2"/>
        <scheme val="minor"/>
      </rPr>
      <t>Absolute difference for unknown cause of death very unlikely to be &gt;5%.</t>
    </r>
  </si>
  <si>
    <t>Over 98% of the patients with breast cancer in both groups registered with and subsequently treated at Malmo General Hospital. Remaining 2% of patients
identified through the national cancer registry.
No information on blinding.</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</si>
  <si>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</si>
  <si>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Fontana 1991 (#531)</t>
  </si>
  <si>
    <t>No information on offered treatment.</t>
  </si>
  <si>
    <t>Not reported</t>
  </si>
  <si>
    <t>Pastorino 2019 (#725)</t>
  </si>
  <si>
    <t>Lung cancer mortality (per 100,000 PY) and hazard ratio; follow-up until June 2018; LDCT (combined) vs control</t>
  </si>
  <si>
    <t>LDCT (combined) arm and control arm significantly different in age, gender, smoking status and pack years.</t>
  </si>
  <si>
    <t>No information on treatment offered and adherence</t>
  </si>
  <si>
    <t>Missing cause of death:
LDCT: 3/137 (2.2%)
Control: 7/106 (6.6%)
Total: 10/243 (4.1%)</t>
  </si>
  <si>
    <t>Missing cause of death:
LDCT: 3/137 (2.2%)
Control: 7/106 (6.6%)
Absolute difference: 4.4%</t>
  </si>
  <si>
    <t xml:space="preserve">97 and 66 non-LC deaths in LDCT and control arms, respectively. 1 person lost to follow-up, unclear from which arm.
</t>
  </si>
  <si>
    <t>Phone calls, email and contacts with general practitioner or referring hospitals, and periodical enquiry to National Statistic and
Cancer Registries. No information on blinding.</t>
  </si>
  <si>
    <t>Phone calls, email and contacts with general practitioner or referring hospitals, and periodical enquiry to National Statistic and Cancer Registries.
No information on blinding.</t>
  </si>
  <si>
    <t>High risk due to randomisation issues.</t>
  </si>
  <si>
    <t>Mandel 1993 (#258)</t>
  </si>
  <si>
    <t>CRC mortality; 13 years of follow-up</t>
  </si>
  <si>
    <t>Target-cancer specific mortality; main timepoint, same analysis date as for surrogate data</t>
  </si>
  <si>
    <t>This may be due to the higher incidence of CRC and to the higher mortality from this cancer in the biennially screened group early in the study, which may have resulted from a chance imbalance in the randomisation procedure.</t>
  </si>
  <si>
    <t>Total: 106/1,116 (9.5%) unstaged.</t>
  </si>
  <si>
    <t>Annual: 33/354 (9.3%) unstaged.
Biennial: 34/368 (9.2%) unstaged.
Control: 39/394 (9.9%) unstaged.
Absolute difference to control &lt;5% for both FOBT arms.</t>
  </si>
  <si>
    <t>Unknown cause of deaths:
Annual: 1.0%
Biennial: 1.0%
Control: 0.9%</t>
  </si>
  <si>
    <t>Mailed annual questionnaires; if no reply, participants were called. Medical repords obtained for all reported lesions. Study pathologists staged all CRC using the Turnbull modification of the 1932 Dukes' staging system.
No information on blinding.</t>
  </si>
  <si>
    <t>Mailed annual questionnaires; if no reply, participants were called. Deaths certificates obtained for all participants who died. Independent Deaths Review Committee used uncoded death certificates and medical records to determine of deaths was caused by CRC.</t>
  </si>
  <si>
    <t>High risk as there seemed to have been an issue with a chance imbalance in the randomisation procedure regarding CRC incidence and mortality in the biennial FOBT group.</t>
  </si>
  <si>
    <t>NLST 2011 (#398)</t>
  </si>
  <si>
    <t>LDCT: 20/1,060
CXR: 12/941
Total: 32/2,001 (1.6%)</t>
  </si>
  <si>
    <t>LDCT: 20/1,060 (1.9%)
CXR: 12/941 (1.3%)
Absolute difference: 0.6%</t>
  </si>
  <si>
    <t>No information in missing cause of death.</t>
  </si>
  <si>
    <t>Assessed at the same time point (31/12/2009) so attrition should be the same.</t>
  </si>
  <si>
    <t>Semiannual (ACRIN) or annual (LSS) questionnaires for interim cancer diagnoses. For people with positive screening test or lung cancer diagnosis: medical records, pathology and tumor-staging reports abstracted by certified medical-record abstractors. No information on blinding.</t>
  </si>
  <si>
    <t>Semiannual (ACRIN) or annual (LSS) questionnaires or National Death Index (NDI) searches. Endpoint verification team blinded to study arm determined whether the cause of death was lung cancer from death certificates.</t>
  </si>
  <si>
    <t>Offered treatment unlikely to be different; no information on treatment adherence.</t>
  </si>
  <si>
    <t>Norwegian cause of death registry (virtually 100% complete); no death review committee or expert coder to perform an additional
review of death certificates.</t>
  </si>
  <si>
    <t>Hardcastle 1996 (#165)</t>
  </si>
  <si>
    <t>The groups were well matched in terms of age and sex.</t>
  </si>
  <si>
    <t>No information on cancer treatment and adherence, respectively.</t>
  </si>
  <si>
    <r>
      <t xml:space="preserve">FOBT: 19/893 (2%)
Control: 33/856 (4%)
</t>
    </r>
    <r>
      <rPr>
        <b/>
        <sz val="10"/>
        <color theme="1"/>
        <rFont val="Calibri"/>
        <family val="2"/>
        <scheme val="minor"/>
      </rPr>
      <t>Total: 52/1,749 (3.0%)</t>
    </r>
    <r>
      <rPr>
        <sz val="10"/>
        <color theme="1"/>
        <rFont val="Calibri"/>
        <family val="2"/>
        <scheme val="minor"/>
      </rPr>
      <t xml:space="preserve">
</t>
    </r>
  </si>
  <si>
    <r>
      <t xml:space="preserve">FOBT: 19/893 (2%)
Control: 33/856 (4%)
</t>
    </r>
    <r>
      <rPr>
        <b/>
        <sz val="10"/>
        <color theme="1"/>
        <rFont val="Calibri"/>
        <family val="2"/>
        <scheme val="minor"/>
      </rPr>
      <t>Absolute difference: 2%</t>
    </r>
  </si>
  <si>
    <t>Blinded asssessment of stage of CRC and classification of adenomas by pathologist</t>
  </si>
  <si>
    <t>Structured, blinded case-note reviews of certified and registered CRC cases</t>
  </si>
  <si>
    <t>Low and unclear risk ratings. Unclear if the offered treatment and treatment adherence was the same in both groups. No information on contamination.</t>
  </si>
  <si>
    <t>Frisell 1997 (#4366)</t>
  </si>
  <si>
    <t>Breast cancer mortality in cases detected in screening period (including exit screen); follow-up until 31/12/1994</t>
  </si>
  <si>
    <t>The background factors of women invited for screening compared to women not invited in the Stockholm trial are equal in both groups.</t>
  </si>
  <si>
    <t>The criteria for surgery were the same in the study and control groups.
No major difference could be seen in the adjuvant
treatments of the study group and the control group.</t>
  </si>
  <si>
    <t>Number with unknown stage not reported.</t>
  </si>
  <si>
    <t>Number with unknown cause of death not reported.</t>
  </si>
  <si>
    <t>Breast cancer data base of the Stockholm Breast Cancer Study Group. Re-check of all the breast
cancer patients’ records. Check of official population registers and a computerised register covering 95% of the patients in care in the Stockholm region.
No information on blinding.</t>
  </si>
  <si>
    <t>Followup data in that register based on continuous reports from the clinicians responsible. Re-check of all the breast cancer patients’ records. Check of official population registers and a computerised register covering 95% of the patients in care in the Stockholm region.
No information on blinding.</t>
  </si>
  <si>
    <t>Low and unclear risk ratings</t>
  </si>
  <si>
    <t>Thiis-Evensen 1999 (#311)</t>
  </si>
  <si>
    <t>A limitation of this study is a slightly unbalanced randomization; the initial screening group and the initial control group had different patterns of months of birth. 
Exclusion criteria not applied to the control group.</t>
  </si>
  <si>
    <t>No information on cancer treatment and adherence to treatment.</t>
  </si>
  <si>
    <t>2/399 (0.5%) individuals in the control group had emigrated.</t>
  </si>
  <si>
    <t>Hospital files and the files of the National
Cancer Registry of Norway</t>
  </si>
  <si>
    <t>Official Norwegian Bureau of Statistics.</t>
  </si>
  <si>
    <t>High risk as there seems to be an issue with higher all-cause mortality in the screening arm which seems to be related to the months of birth.</t>
  </si>
  <si>
    <t>Trivandrum Breast</t>
  </si>
  <si>
    <t>Ramadas 2023 (#4570)</t>
  </si>
  <si>
    <t>Breast cancer mortality (per 100,000 PY);
Follow-up until 31/12/2019;
CBE vs control</t>
  </si>
  <si>
    <t>Only mortality outcome available</t>
  </si>
  <si>
    <t xml:space="preserve">133 and 141 clusters randomised to screening and control arms.
Mean cluster size: 420 and 422.
Because of the large sample size, small statistical differences between the study groups were found in the average cluster proportions of women living in houses with thatched roofs, with some formal education, working exclusively at home, currently married, post‐menopausal women, cluster mean age at recruitment and number of pregnancies.
</t>
  </si>
  <si>
    <t>Confirmed with breast cancer were referred for staging and appropriate treatment.
Prescribed treatments were completed by 320 (95.0%) patients in the intervention and 255 (93.4%) in the control groups.</t>
  </si>
  <si>
    <t>CBE: 6/335 (1.8%)
Control: 2/273 (0.7%)
Total: 8/608 (1.3%)</t>
  </si>
  <si>
    <t>CBE: 6/335 (1.8%)
Control: 2/273 (0.7%)
Absolute difference:
1.1%</t>
  </si>
  <si>
    <t>Surrogate and mortality outcomes assessed at the same time point, so attrition should be the same.</t>
  </si>
  <si>
    <t>Tabar 1985 (#4099)</t>
  </si>
  <si>
    <t>Breast cancer mortality (per 1,000 women aged 40-74 years); up to 31/12/1984</t>
  </si>
  <si>
    <t>Cluster randomisation - control group is slightly younger than the group allocated to screening.</t>
  </si>
  <si>
    <t>Treatment determined by regional guidelines and by conference among the surgeons, oncologists, radiologists and pathologists on the basis of stage and other attributes of the tumour and patient irrespective of trial group.
No information on treatment adherence.</t>
  </si>
  <si>
    <r>
      <t xml:space="preserve">Node status not examined, size &lt;20 mm:
ASP: 43/1,068 (4.0%)
PSP: 10/595 (1.7%)
</t>
    </r>
    <r>
      <rPr>
        <b/>
        <sz val="10"/>
        <color theme="1"/>
        <rFont val="Calibri"/>
        <family val="2"/>
        <scheme val="minor"/>
      </rPr>
      <t>Total: 53/1,663</t>
    </r>
    <r>
      <rPr>
        <sz val="10"/>
        <color theme="1"/>
        <rFont val="Calibri"/>
        <family val="2"/>
        <scheme val="minor"/>
      </rPr>
      <t xml:space="preserve"> </t>
    </r>
    <r>
      <rPr>
        <b/>
        <sz val="10"/>
        <color theme="1"/>
        <rFont val="Calibri"/>
        <family val="2"/>
        <scheme val="minor"/>
      </rPr>
      <t>(3.2%)</t>
    </r>
  </si>
  <si>
    <r>
      <t xml:space="preserve">Node status not examined, size &lt;20 mm:
ASP: 43/1,068 (4.0%)
PSP: 10/595 (1.7%)
</t>
    </r>
    <r>
      <rPr>
        <b/>
        <sz val="10"/>
        <color theme="1"/>
        <rFont val="Calibri"/>
        <family val="2"/>
        <scheme val="minor"/>
      </rPr>
      <t>Absolute difference: 2.3%</t>
    </r>
  </si>
  <si>
    <t>No information on number with missing cause of death.</t>
  </si>
  <si>
    <t>Same analysis date for chosen surrogate and mortality outcomes.
The small number of subjects who have left Sweden were the only ones who could not be traced.</t>
  </si>
  <si>
    <t>Nationwide cancer registration</t>
  </si>
  <si>
    <t>National Bureau of Statistics; death classified by members of the local project groups as being due to breast cancer only after a full review of the clinical and pathological records; if doubtful the records were reviewed by a combined committee from the 2 counties.
No information on blinding.</t>
  </si>
  <si>
    <t>High risk due to baseline differences between ASP and PSP groups (age slightly lower in PSP group).</t>
  </si>
  <si>
    <t>Thomas 2002 (#11140)</t>
  </si>
  <si>
    <t>Breast cancer mortality up to 31/12/2000 (10-11 years of follow-up)</t>
  </si>
  <si>
    <t>Cancer-specific mortality; main timepoint as in power calculations</t>
  </si>
  <si>
    <t>The factory level randomization procedure successfully divided the study population into groups at equal risk of breast cancer. The two treatment groups were virtually identical with respect to age (60% under age 50 years) and known and suspected risk factors for breast cancer, as ascertained from the baseline questionnaire.</t>
  </si>
  <si>
    <t>Diagnosis and treament mainly at 3 hospitals blinded to study arm; the treatment received by women in the two arms of this trial was comparable</t>
  </si>
  <si>
    <r>
      <t xml:space="preserve">Study group: 60/857 (7.0%)
Control group: 46/890 (5.2%)
</t>
    </r>
    <r>
      <rPr>
        <b/>
        <sz val="10"/>
        <color theme="1"/>
        <rFont val="Calibri"/>
        <family val="2"/>
        <scheme val="minor"/>
      </rPr>
      <t>Total: 106/1,747 (6.1%)</t>
    </r>
    <r>
      <rPr>
        <sz val="10"/>
        <color theme="1"/>
        <rFont val="Calibri"/>
        <family val="2"/>
        <scheme val="minor"/>
      </rPr>
      <t xml:space="preserve">
</t>
    </r>
  </si>
  <si>
    <r>
      <t xml:space="preserve">Study group: 60/857 (7.0%)
Control group: 46/890 (5.2%)
</t>
    </r>
    <r>
      <rPr>
        <b/>
        <sz val="10"/>
        <color theme="1"/>
        <rFont val="Calibri"/>
        <family val="2"/>
        <scheme val="minor"/>
      </rPr>
      <t>Absolute difference &lt;5%.</t>
    </r>
    <r>
      <rPr>
        <sz val="10"/>
        <color theme="1"/>
        <rFont val="Calibri"/>
        <family val="2"/>
        <scheme val="minor"/>
      </rPr>
      <t xml:space="preserve">
</t>
    </r>
  </si>
  <si>
    <t>Active follow-up was complete for all women with breast cancer through the end of the year 2000, including those who left the STIB</t>
  </si>
  <si>
    <t>9,873 (7.4%) and 9,997 (7.5%), respectively, left the STIB in 10-11 years of follow-up. The numbers of women who left the STIB were similar between arms each year.</t>
  </si>
  <si>
    <t xml:space="preserve">Blinded study personnel reviewed the medical records of all women found to have a histologically confirmed benign or malignant breast lesion to collect sufficient information on tumor size, spread to regional lymph nodes, and distant metastases for classification according to the tumor–node–metastasis (TNM) scheme. </t>
  </si>
  <si>
    <t>Blinded review of deaths in women with breast cancer by a Chinese physician using clinical and hospital records and interviews family members if necessary. Decision translated by a second Chinese physician in Seattle into English, and jointly reviewed by her and the principal investigator. If consensus could not be reached, additional information was sought from the physician in Shanghai.</t>
  </si>
  <si>
    <t>Russia WHO Breast</t>
  </si>
  <si>
    <t>Semiglazov 1999 (#11145)</t>
  </si>
  <si>
    <t xml:space="preserve">Breast cancer mortality in cases diagnosed up to 31/12/1994; followed up until 31/12/1997 </t>
  </si>
  <si>
    <t>Age distribution in the BSE and the control groups is nearly identical.</t>
  </si>
  <si>
    <t>Offered treatment the same between arms (same institute). No information on adherence to treatment.</t>
  </si>
  <si>
    <t>No missing data on N stage</t>
  </si>
  <si>
    <t>No information on number with unknown cause of death</t>
  </si>
  <si>
    <t>Yearly review of records from noncomputerised tumour registries of the 28 polyclinics. City of St. Petersburg health records reviewed yearly to check for other cases. No information on blinding.</t>
  </si>
  <si>
    <t>City of St. Petersburg health records reviewed yearly to follow for mortality; no information on blinding</t>
  </si>
  <si>
    <t>Schoen 2012 (#996)</t>
  </si>
  <si>
    <t>Colorectal-specific mortality 13 years since randomisation</t>
  </si>
  <si>
    <r>
      <rPr>
        <sz val="10"/>
        <color rgb="FF00B050"/>
        <rFont val="Calibri"/>
        <family val="2"/>
        <scheme val="minor"/>
      </rPr>
      <t xml:space="preserve"> N</t>
    </r>
    <r>
      <rPr>
        <sz val="10"/>
        <color theme="1"/>
        <rFont val="Calibri"/>
        <family val="2"/>
        <scheme val="minor"/>
      </rPr>
      <t xml:space="preserve"> </t>
    </r>
  </si>
  <si>
    <t>Vital status within a year after the data-cutoff date was known for 99.9% of participants.</t>
  </si>
  <si>
    <t>Primarily by means of a mailed Annual Study Update questionnaire. Participants who did not return questionnaires were contacted by repeat mailing or telephone. Cancer incidence, stage, and location were verified from medical records.
No information on blinding.</t>
  </si>
  <si>
    <t>"The baseline characteristics of the participants were similar in the two study groups (Table 1)"</t>
  </si>
  <si>
    <t>"The rates of administered treatment for colorectal cancer with surgery, chemotherapy, or radiation therapy were similar overall and according to cancer stage in the two groups (Table S1 in the Supplementary Appendix)."</t>
  </si>
  <si>
    <r>
      <t xml:space="preserve">57/1,012 (5.6%)
34/1,287 (2.6%)
</t>
    </r>
    <r>
      <rPr>
        <b/>
        <sz val="10"/>
        <color theme="1"/>
        <rFont val="Calibri"/>
        <family val="2"/>
        <scheme val="minor"/>
      </rPr>
      <t>Total 91/2,299 (4.0%)</t>
    </r>
  </si>
  <si>
    <r>
      <t xml:space="preserve">57/1,012 (5.6%)
34/1,287 (2.6%)
</t>
    </r>
    <r>
      <rPr>
        <b/>
        <sz val="10"/>
        <color theme="1"/>
        <rFont val="Calibri"/>
        <family val="2"/>
        <scheme val="minor"/>
      </rPr>
      <t>Absolute difference: 3.0%</t>
    </r>
  </si>
  <si>
    <t>No informtion on CRC cases with missing cause of death in main paper.</t>
  </si>
  <si>
    <t>Mailed annual questionnaire and periodic linkage to the National Death Index. Deaths that were potentially related to PLCO cancers were reviewed in a blinded fashion, in an end-point adjudication process.</t>
  </si>
  <si>
    <t>5.1 Was the surrogate outcome measured at the same timepoint as the mortality outcome?</t>
  </si>
  <si>
    <t>5.2 If 5.1 'No' - Is the new screening intervention offered to all arms / exit screen offered to control arm(s) or contamination &gt;20% at any timepoint?</t>
  </si>
  <si>
    <t>5.3 If 5.2 'Yes' - Did the new screening intervention offered to all arms / exit screen offered to control arm(s) or contamination occur between measurement of surrogate and mortality?</t>
  </si>
  <si>
    <t>Lung cancer mortality (per 100 people randomised); follow-up until 31/12/2009</t>
  </si>
  <si>
    <t>NLST 2019 (#11135)</t>
  </si>
  <si>
    <t>Target cancer specific mortality; SAP: 15/01/2009 for LC mortality to account for time lags associated with the end point verification process; a cutoff of
December 31, 2009, was used for all-cause mortality.
Lung cancer mortality results were subsequently reported using all events through the later cutoff date
(December 31, 2009).</t>
  </si>
  <si>
    <t>"The demographic characteristics and smoking history of the participants were virtually identical in the two groups."</t>
  </si>
  <si>
    <t>No informatuin on treatment and adherence for later periods, just for the initial screening round.</t>
  </si>
  <si>
    <t>FU for both until 31/12/2009.</t>
  </si>
  <si>
    <t>5.1 answered with 'Yes'</t>
  </si>
  <si>
    <t>Breast cancer mortality from cases diagnosed in screening period (including cancers detected at screen 1 from the control group) (per 1,000 women); blinded review of cause of death by independent endpoint committee (EPC); follow-up to 31/12/1996</t>
  </si>
  <si>
    <t>Target cancer specific mortality; blinded cause of death review; deaths of cases diagnosed in screening period up to 31/12/1996 is the primary outcome of the trial.</t>
  </si>
  <si>
    <t>Bjurstam 1997: 2 groups were comparable in age, suggesting that the randomisation was effective.
Bjurstam 2013 discussion: Age distribution among women in our study and control groups differed slightly. This was a consequence of the design of the trial, in which randomization took place with a varying study:control ratios for different birth-year cohorts.</t>
  </si>
  <si>
    <t>Last screen in the intervention group was October 1987. Exit screen was then performed Nov 1987 - June 1991.
So, surrogate was definitively measured BEFORE mortality (31/12/1996).</t>
  </si>
  <si>
    <t>Exit screen was then performed Nov 1987 - June 1991.
It was believed that contamination was high (18% of women in a random sample of the control group reported that they had a mammogram in the previous 2 years).</t>
  </si>
  <si>
    <t>Surrogate: Lymph node-positive cancers detected in screening period (including exit screen).
Mortality: Breast cancer mortality from cases diagnosed in screening period (including exit screen).</t>
  </si>
  <si>
    <t>High risk due to  missing "stage" data (borderline though).</t>
  </si>
  <si>
    <t>No information; possibly not:
Women who had moved out of the country followed up through the national registry of immigrants and emigrants.
Malmo has a fairly stable population, the yearly migration rate to and from the city being about 2% in the age groups participating in this study.</t>
  </si>
  <si>
    <t>Both followed up until 31/12/1986</t>
  </si>
  <si>
    <t xml:space="preserve">Both: FU for median 19 years from entry (IQR 12-24) </t>
  </si>
  <si>
    <t xml:space="preserve">Each trial center followed the common core protocol and provided key data to the joint independent data center every 6 months. </t>
  </si>
  <si>
    <t>Surrogte: FU until 31/12/2001
Mortality: FU until 31/12/2001</t>
  </si>
  <si>
    <t>The background characteristics between the screening and control arms were in balance (enrollment 2004-2012; #270).
No information for 2004-2011 enrollment though, but randomisation stratified by by birth year, sex and residence.</t>
  </si>
  <si>
    <t>Diagnostic and treatment strategies in different hospitals were not standardized.
After adjustment for T category (T0–2 versus T3–4), no significant differences were found in the rates of non-radical surgery (RR 1⋅13, 0⋅91 to 1⋅41), emergency surgery (RR 1⋅17, 0⋅85 to 1⋅61), postoperative chemotherapy (RR 0⋅99, 0⋅92 to 1⋅08) or stomas (RR 1⋅17, 0⋅98 to 1⋅39).</t>
  </si>
  <si>
    <t>Surrogate: 31/12/2011
Mortality: 31/12/2012
(within 1 year)</t>
  </si>
  <si>
    <t xml:space="preserve">No exit screen / No new screening intervention offered to all arms / Contamination of the control arm by wild screening is likely to be small in Finland. </t>
  </si>
  <si>
    <t>High risk due to missing 'stage' data in &gt;10%.</t>
  </si>
  <si>
    <r>
      <t xml:space="preserve">Missing laterality or missing N category:
Screening: 88/743 (11.8%)
Control: 69/617 (11.2%)
</t>
    </r>
    <r>
      <rPr>
        <b/>
        <sz val="10"/>
        <color theme="1"/>
        <rFont val="Calibri"/>
        <family val="2"/>
        <scheme val="minor"/>
      </rPr>
      <t>Total: 157/1,360 (11.5%)</t>
    </r>
  </si>
  <si>
    <r>
      <t xml:space="preserve">Missing laterality or missing N category:
Screening: 88/743 (11.8%)
Control: 69/617 (11.2%)
</t>
    </r>
    <r>
      <rPr>
        <b/>
        <sz val="10"/>
        <color theme="1"/>
        <rFont val="Calibri"/>
        <family val="2"/>
        <scheme val="minor"/>
      </rPr>
      <t>Absolute difference: 0.66%</t>
    </r>
  </si>
  <si>
    <t>5.2 answered with 'NI'</t>
  </si>
  <si>
    <t>About 22 percent of the patients with colorectal cancer in the screened groups, but few of those in the control group, were treated at the University of Minnesota Hospital. A difference in treatment between the university and other hospitals could have resulted in a spurious difference in survival.
When treatment procedures were analysed according to sex, age, screening group, anatomical location, and Dukes' stage, no significant treatment differences were revealed between study groups.</t>
  </si>
  <si>
    <t xml:space="preserve">Both 13 years of FU from entry </t>
  </si>
  <si>
    <t>Miller 1992 (#4474)</t>
  </si>
  <si>
    <t>Breast cancer mortality; 7 years of follow-up;</t>
  </si>
  <si>
    <t>5 years from entry; however, because insufficient deaths from breast cancer had occurred by five years to attain the planned power, the follow-up was extended for two years, by which time there were enough breast cancer deaths to reach the planned power.
Agreed with Nefeli, Matejka and Adam.</t>
  </si>
  <si>
    <r>
      <t xml:space="preserve">Unknown N status
MP: 38/331 (11.5%)
UC: 49/272 (18.0%)
</t>
    </r>
    <r>
      <rPr>
        <b/>
        <sz val="10"/>
        <color theme="1"/>
        <rFont val="Calibri"/>
        <family val="2"/>
        <scheme val="minor"/>
      </rPr>
      <t>Total: 87/603 (14.4%)</t>
    </r>
    <r>
      <rPr>
        <sz val="10"/>
        <color theme="1"/>
        <rFont val="Calibri"/>
        <family val="2"/>
        <scheme val="minor"/>
      </rPr>
      <t xml:space="preserve">
</t>
    </r>
  </si>
  <si>
    <r>
      <t xml:space="preserve">Unknown N status
MP: 38/331 (11.5%)
UC: 49/272 (18.0%)
</t>
    </r>
    <r>
      <rPr>
        <b/>
        <sz val="10"/>
        <color theme="1"/>
        <rFont val="Calibri"/>
        <family val="2"/>
        <scheme val="minor"/>
      </rPr>
      <t>Absolute difference: 6.5%</t>
    </r>
    <r>
      <rPr>
        <sz val="10"/>
        <color theme="1"/>
        <rFont val="Calibri"/>
        <family val="2"/>
        <scheme val="minor"/>
      </rPr>
      <t xml:space="preserve">
</t>
    </r>
  </si>
  <si>
    <r>
      <t xml:space="preserve">Unknown cause of death up to 31/12/1988:
MP: 1/159 (0.6%)
UC: 1/156 (0.6%)
</t>
    </r>
    <r>
      <rPr>
        <b/>
        <sz val="10"/>
        <color theme="1"/>
        <rFont val="Calibri"/>
        <family val="2"/>
        <scheme val="minor"/>
      </rPr>
      <t>Total: 2/315 (0.6%)</t>
    </r>
  </si>
  <si>
    <r>
      <t xml:space="preserve">Unknown cause of death up to 31/12/1988:
MP: 1/159 (0.6%)
UC: 1/156 (0.6%)
</t>
    </r>
    <r>
      <rPr>
        <b/>
        <sz val="10"/>
        <color theme="1"/>
        <rFont val="Calibri"/>
        <family val="2"/>
        <scheme val="minor"/>
      </rPr>
      <t>Absolute difference &lt;5%</t>
    </r>
  </si>
  <si>
    <t>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 No information on blinding.</t>
  </si>
  <si>
    <t>Pathologists in community hospitals who conformed to their own standards of practice. Might have been different by arm.</t>
  </si>
  <si>
    <t>Initial and annual self-administered questionnaires, from the screening examinations, from the patients' physicians, by record linkage to the Canadian National Mortality Data Base. Expert panels evaluated death data for those whose death certificate mentioned breast cancer and for those whose cause of death was reported as unknown, unknown primary cancer, lung cancer, colon cancer or liver cancer.</t>
  </si>
  <si>
    <t>Both measured through 7 years of FU.</t>
  </si>
  <si>
    <t xml:space="preserve">NA </t>
  </si>
  <si>
    <t>High risk rating because of missing surrogate data for &gt;10% and difference in missingness between arms &gt;5%.</t>
  </si>
  <si>
    <t>Miller 1992 (#4473)</t>
  </si>
  <si>
    <r>
      <t xml:space="preserve">Unknown N stage
MP: 55/370 (14.9%)
PO: 46/320 (14.4%)
</t>
    </r>
    <r>
      <rPr>
        <b/>
        <sz val="10"/>
        <color theme="1"/>
        <rFont val="Calibri"/>
        <family val="2"/>
        <scheme val="minor"/>
      </rPr>
      <t>Total: 101/690 (14.6%)</t>
    </r>
    <r>
      <rPr>
        <sz val="10"/>
        <color theme="1"/>
        <rFont val="Calibri"/>
        <family val="2"/>
        <scheme val="minor"/>
      </rPr>
      <t xml:space="preserve">
</t>
    </r>
  </si>
  <si>
    <r>
      <t xml:space="preserve">Unknown N stage
MP: 55/370 (14.9%)
PO: 46/320 (14.4%)
</t>
    </r>
    <r>
      <rPr>
        <b/>
        <sz val="10"/>
        <color theme="1"/>
        <rFont val="Calibri"/>
        <family val="2"/>
        <scheme val="minor"/>
      </rPr>
      <t>Absolute difference &lt;5%.</t>
    </r>
    <r>
      <rPr>
        <sz val="10"/>
        <color theme="1"/>
        <rFont val="Calibri"/>
        <family val="2"/>
        <scheme val="minor"/>
      </rPr>
      <t xml:space="preserve">
</t>
    </r>
  </si>
  <si>
    <r>
      <t xml:space="preserve">Unknown cause of death until 31/12/1988:
MP: 0/253 (0%)
PO: 1/250 (0.4%)
</t>
    </r>
    <r>
      <rPr>
        <b/>
        <sz val="10"/>
        <color theme="1"/>
        <rFont val="Calibri"/>
        <family val="2"/>
        <scheme val="minor"/>
      </rPr>
      <t>Total: 1/503 (0.2%)</t>
    </r>
    <r>
      <rPr>
        <sz val="10"/>
        <color theme="1"/>
        <rFont val="Calibri"/>
        <family val="2"/>
        <scheme val="minor"/>
      </rPr>
      <t xml:space="preserve">
</t>
    </r>
  </si>
  <si>
    <r>
      <t xml:space="preserve">Unknown cause of death until 31/12/1988:
MP: 0/253 (0%)
PO: 1/250 (0.4%)
</t>
    </r>
    <r>
      <rPr>
        <b/>
        <sz val="10"/>
        <color theme="1"/>
        <rFont val="Calibri"/>
        <family val="2"/>
        <scheme val="minor"/>
      </rPr>
      <t>Absolute difference &lt;5 %.</t>
    </r>
    <r>
      <rPr>
        <sz val="10"/>
        <color theme="1"/>
        <rFont val="Calibri"/>
        <family val="2"/>
        <scheme val="minor"/>
      </rPr>
      <t xml:space="preserve">
</t>
    </r>
  </si>
  <si>
    <t>Initial and annual self-administered questionnaires, from the screening examinations, from the patients' physicians, from the provincial cancer registries. Expert panels evaluated histologic data. No information on blinding.</t>
  </si>
  <si>
    <t>Initial and annual self-administered questionnaires, from the screening examinations, from the patients' physicians, by record linkage to the Canadian National Mortality Data Base. Expert panels evaluated death data. No information on blinding.</t>
  </si>
  <si>
    <t>Both meaured through 7 years of FU.</t>
  </si>
  <si>
    <t>High risk rating because of missing surrogate data for &gt;10%.</t>
  </si>
  <si>
    <t>SAP or protocol not reported.
FU until 31/12/1994 seems to be the main analysis time point for mortality.</t>
  </si>
  <si>
    <t>Surrogate includes all cancers diagnosed in the screening period (including exit screen).
Mortality of all cancers diagnosed during the screening period; FU until 31/12/1994.</t>
  </si>
  <si>
    <t>Exit screen offered to control arm.</t>
  </si>
  <si>
    <t>Surrogate as well as mortality outcomes include cancers diagnosed via the exit screen.</t>
  </si>
  <si>
    <t>Surrogate: FU until Aug 1995
Mortality: FU until Aug 1995</t>
  </si>
  <si>
    <t>Hoff 1996 (#330)</t>
  </si>
  <si>
    <t>CRC mortality; follow-up until 1995</t>
  </si>
  <si>
    <t>No SAP or power calculation.
“Specified and all-cause mortality from 1983 up to and including 1995 were end points in this study…”
Chose 1995 to not include the exit screen.</t>
  </si>
  <si>
    <t>Surrogate: through 1993
Mortality: through 1995</t>
  </si>
  <si>
    <t>Exit screen in 1996 after measurement of surrogate and mortality outcomes.</t>
  </si>
  <si>
    <t>5.2 answered with 'No'.</t>
  </si>
  <si>
    <t>Hoff 2009 #196</t>
  </si>
  <si>
    <r>
      <t xml:space="preserve">CRC mortality </t>
    </r>
    <r>
      <rPr>
        <b/>
        <sz val="10"/>
        <color theme="1"/>
        <rFont val="Calibri"/>
        <family val="2"/>
        <scheme val="minor"/>
      </rPr>
      <t>in people aged 55-64 years</t>
    </r>
    <r>
      <rPr>
        <sz val="10"/>
        <color theme="1"/>
        <rFont val="Calibri"/>
        <family val="2"/>
        <scheme val="minor"/>
      </rPr>
      <t xml:space="preserve">; 
FU until 31/12/2015 (median 15 years) (Age-adjusted hazard ratio / rate ratio)
</t>
    </r>
  </si>
  <si>
    <t>Holme 2018 #192</t>
  </si>
  <si>
    <t>Planned end points were cumulative incidence and mortality of colorectal cancer after 5, 10, and 15 years.
Power calculation conducted for the 55- to 64-year age group and for the 2 screening groups combined vs the control group: CRC incidence after 5 years</t>
  </si>
  <si>
    <t>No information for the age group 55-64 years.</t>
  </si>
  <si>
    <r>
      <t xml:space="preserve">FS: 12/123 (9.8%)
Control: 38/362 (10.5%)
</t>
    </r>
    <r>
      <rPr>
        <b/>
        <sz val="10"/>
        <color theme="1"/>
        <rFont val="Calibri"/>
        <family val="2"/>
        <scheme val="minor"/>
      </rPr>
      <t>Total: 50/485 (10.3%)</t>
    </r>
  </si>
  <si>
    <r>
      <t xml:space="preserve">FS: 12/123 (9.8%)
Control: 38/362 (10.5%)
</t>
    </r>
    <r>
      <rPr>
        <b/>
        <sz val="10"/>
        <color theme="1"/>
        <rFont val="Calibri"/>
        <family val="2"/>
        <scheme val="minor"/>
      </rPr>
      <t>Absolute difference: 0.7%</t>
    </r>
  </si>
  <si>
    <t>In Norway, reporting of data on any cause of death to the Norwegian cause of death registry is compulsory. These registries are virtually 100% complete.</t>
  </si>
  <si>
    <t xml:space="preserve">No information on attrition between surrogate and mortality outcome measurement.
</t>
  </si>
  <si>
    <t>Cancer registry of Norway (virtually 100% complete); blinded assessment of stage.</t>
  </si>
  <si>
    <t>Surrogate: median 7 years of FU.
Mortality: median 15 years of FU.</t>
  </si>
  <si>
    <t>Virtually no screening colonoscopies outside the trial. 
Thus, all CRC cases in the control group identified by work-up of gastrointestinal symptoms.</t>
  </si>
  <si>
    <t>5.2 answered with "No".</t>
  </si>
  <si>
    <t xml:space="preserve">CRC mortality (verified cause of death); 
FU until 30/06/1995 </t>
  </si>
  <si>
    <t>Hardcastle 1989 reported that both groups will be followed up for at least 7 years.</t>
  </si>
  <si>
    <t>2,599 who could not be traced by the Office of Population Censuses and Surveys or had emigrated were not included in our analysis.
2,599/152,850 (1.7%)</t>
  </si>
  <si>
    <t>Surrogate: FU until 30/06/1995
Mortality: FU until 30/06/1995</t>
  </si>
  <si>
    <t>No information on numbers with unknown Gleason score after &lt;6 years of FU.</t>
  </si>
  <si>
    <t>No information on attrition between &lt;6 years and median 10 years of FU.</t>
  </si>
  <si>
    <t>Public Health England and Public Health Wales, and supplemented with routine hospital data from the study centers.
No information on blinding.</t>
  </si>
  <si>
    <t>Surrogate: median FU &lt;6 years from entry.
Mortality: median FU of 10 years</t>
  </si>
  <si>
    <t>No exit screen / 
Cumulative contamination (PSA testing in the control group) was indirectly estimated at approximately 10% to 15% over 10 years.</t>
  </si>
  <si>
    <t>Low and unclear risk ratings throughout.</t>
  </si>
  <si>
    <t>Both FU until 31/12/2014</t>
  </si>
  <si>
    <t>Both measured up to 15 May 2013.</t>
  </si>
  <si>
    <t>Classed as 'high risk' as domain 1 (baseline imbalances suggest problem with randomisation process) rated 'high risk'.</t>
  </si>
  <si>
    <t>Age, smoking, and professional exposures were consistent between the two groups. Respiratory comorbidity was
slightly more prevalent among subjects in the LDCT arm (35 vs. 31% P = 0.0321), but all other comorbid conditions were
evenly distributed.</t>
  </si>
  <si>
    <t xml:space="preserve">Both measured up to 07/04/2015 </t>
  </si>
  <si>
    <t>5.1 answered with 'Yes'.</t>
  </si>
  <si>
    <t>Both measured at the same timepoint (7 years of FU after entry)</t>
  </si>
  <si>
    <t>5 years and 10 years of follow-up.
Registration of new breast cancer cases will be continued up to 1994, with follow-up until 1999.
Only timepoint available (at least in English language).</t>
  </si>
  <si>
    <t xml:space="preserve">Surrogate measured until 31/12/1994.
Mortality: Breast cancer mortality in cases diagnosed up to 31/12/1994; followed up until 31/12/1997??? </t>
  </si>
  <si>
    <t xml:space="preserve">N </t>
  </si>
  <si>
    <t>BSE not taught on a large scale in Russia before 1985; neither health authorities of Leningrad nor mass media were involved in carrying  out the BSE public education programmes, the  possibility of obtained relevant information on control proved to be rather limited.
No exit screen / No new screening intervention.</t>
  </si>
  <si>
    <t>5.2 answered with 'No'</t>
  </si>
  <si>
    <t>Lung cancer mortality; FU until 01/07/1983 (6-year screening period plus 1-5.5 years postscreen) (Relative risk)</t>
  </si>
  <si>
    <t>Mayo Lung Project ended on 01 July 1983.</t>
  </si>
  <si>
    <t xml:space="preserve">No information </t>
  </si>
  <si>
    <t>1 July 1983): 
26 lost to follow-up.
26/9,211 (0.3%).
Difference can't be &gt;5%</t>
  </si>
  <si>
    <t>Review by expert committee; nothing on blinding</t>
  </si>
  <si>
    <t>Both measured at the same timepoint  (up to 1 July 1983)</t>
  </si>
  <si>
    <t>"The two study arms were balanced on baseline characteristics, including age, smoking habits, exposure to non-tobacco lung carcinogens, and history of pulmonary illnesses."</t>
  </si>
  <si>
    <t>Both: FU until 31/12/2000 (mean 10 years)</t>
  </si>
  <si>
    <t xml:space="preserve">5.1 answered with 'Yes'
</t>
  </si>
  <si>
    <t>Unclear risk in domain 5, otherwise low risk ratings.</t>
  </si>
  <si>
    <t>Surrogate and mortality both measured at the same timepoint (FU until 31/12/2019)</t>
  </si>
  <si>
    <t>First mortality outcome reported.</t>
  </si>
  <si>
    <t>Same timepoint for both outcomes</t>
  </si>
  <si>
    <t>Lung cancer mortality (per 1,000 men); 15-year follow-up after entry</t>
  </si>
  <si>
    <t>No reference to SAP or power calculations.
Chose timepoint consistent with PLCO.
Used all cancers as cancers diagnosed in first 3 or 6 years seem not their primary analysis.</t>
  </si>
  <si>
    <t xml:space="preserve"> NI</t>
  </si>
  <si>
    <t xml:space="preserve">8/190 (4.2%) patients with lung carcinoma diagnosed in Years 0–6, and treated by pulmonary resection, were lost to follow-up before Year 15 of the study.
No information for cancers diagnosed after 6 years.
</t>
  </si>
  <si>
    <t xml:space="preserve">Both arms received CXR + sputum cytology (high intensity vs low intensity).
In the first 3 years after baseline screen, controls almost certainly received very few X-rays - one case only (of 19 in the initial 3-year period) was detected by a nonstudy X-ray.
</t>
  </si>
  <si>
    <t>Both measured at the same timepoint (31/12/2007)</t>
  </si>
  <si>
    <t>Breast cancer mortality (per 1,000 women) in cases diagnosed 10 years from date of entry; follow-up until 10 years from entry;</t>
  </si>
  <si>
    <t>Shapiro 1982 (#3896)</t>
  </si>
  <si>
    <t>Minimum of 5 years of follow-up after the screening program has been completed.
Everything else sounds post hoc.</t>
  </si>
  <si>
    <t>0 with missing cause of death in both arms</t>
  </si>
  <si>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</si>
  <si>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t xml:space="preserve">Surrogate measured after 5 years.
Mortality measured after 10 years.
</t>
  </si>
  <si>
    <t>Mammography is not routinely included in the general physical examination but it is increasingly being used in HIP for differential diagnostic purposes. The extent to which women had general physical examinations (including breast examinations) or engaged in breast self-examination after the completion of the screening project is not known / No exit screen. / No new screening intervention.</t>
  </si>
  <si>
    <t>5.2 answered with 'NI'.</t>
  </si>
  <si>
    <t>"The distribution of subjects by age, sex and smoking habits (smoking status and pack-years) was well balanced between the two groups"</t>
  </si>
  <si>
    <t>"disease stage was determined on the basis of histology reports (pTNM) or clinical information when histology reports were not available"
No info on blinding</t>
  </si>
  <si>
    <t>Surrogate: FU until 31/12/2013
Mortality: FU until 31/12/2014</t>
  </si>
  <si>
    <t>No exit screen / No new screening intervention offered to all arms/ No information on contamination in the control arm.</t>
  </si>
  <si>
    <t>No SAP or power calculation;
Chose longest FU time available; otherwise, surrogate would have been measured AFTER mortality, now it’s at the same timepoint.</t>
  </si>
  <si>
    <t>Both measured at the same timepoint (FU for up to 9 years from entry).</t>
  </si>
  <si>
    <t xml:space="preserve">Surrogate: 1 year since entry
Mortality: FU until 31/12/2005 (median 5.2 years) </t>
  </si>
  <si>
    <t>Cross-over contamination assessed via health assessment questionnaire:
&lt;20%.</t>
  </si>
  <si>
    <t>Lung cancer mortality; FU until 30/04/2018 (within 11 years of randomisation; median 8.9 years)</t>
  </si>
  <si>
    <t>From trial registration: Primary outcome measure is mortality from lung cancer at 5 and 10 years.</t>
  </si>
  <si>
    <r>
      <t xml:space="preserve">LDCT: 1/73 (1.4%)
Control: 0/53 (0%) or
1/54 (1.9%)
</t>
    </r>
    <r>
      <rPr>
        <b/>
        <sz val="10"/>
        <color theme="1"/>
        <rFont val="Calibri"/>
        <family val="2"/>
        <scheme val="minor"/>
      </rPr>
      <t xml:space="preserve">Total: </t>
    </r>
    <r>
      <rPr>
        <b/>
        <sz val="10"/>
        <color theme="1"/>
        <rFont val="Calibri"/>
        <family val="2"/>
      </rPr>
      <t>≤</t>
    </r>
    <r>
      <rPr>
        <b/>
        <sz val="10"/>
        <color theme="1"/>
        <rFont val="Calibri"/>
        <family val="2"/>
        <scheme val="minor"/>
      </rPr>
      <t>2/127 (1.6%)</t>
    </r>
  </si>
  <si>
    <r>
      <t xml:space="preserve">LDCT: 1/73 (1.4%)
Control: 0/53 (0%) or
1/54 (1.9%)
</t>
    </r>
    <r>
      <rPr>
        <b/>
        <sz val="10"/>
        <color theme="1"/>
        <rFont val="Calibri"/>
        <family val="2"/>
        <scheme val="minor"/>
      </rPr>
      <t xml:space="preserve">Absolute difference:
</t>
    </r>
    <r>
      <rPr>
        <b/>
        <sz val="10"/>
        <color theme="1"/>
        <rFont val="Calibri"/>
        <family val="2"/>
      </rPr>
      <t>≤</t>
    </r>
    <r>
      <rPr>
        <b/>
        <sz val="10"/>
        <color theme="1"/>
        <rFont val="Calibri"/>
        <family val="2"/>
        <scheme val="minor"/>
      </rPr>
      <t>1.4%</t>
    </r>
  </si>
  <si>
    <r>
      <rPr>
        <sz val="10"/>
        <color rgb="FF000000"/>
        <rFont val="Calibri"/>
        <family val="2"/>
        <scheme val="minor"/>
      </rPr>
      <t xml:space="preserve">8/148 (5.4%) and 5/150 (3.3%) with unspecified cause of death.
</t>
    </r>
    <r>
      <rPr>
        <b/>
        <sz val="10"/>
        <color rgb="FF000000"/>
        <rFont val="Calibri"/>
        <family val="2"/>
        <scheme val="minor"/>
      </rPr>
      <t>Total: 13/298 (4.4%)</t>
    </r>
  </si>
  <si>
    <r>
      <t xml:space="preserve">8/148 (5.4%) and 5/150 (3.3%) with unspecified cause of death.
</t>
    </r>
    <r>
      <rPr>
        <b/>
        <sz val="10"/>
        <color theme="1"/>
        <rFont val="Calibri"/>
        <family val="2"/>
        <scheme val="minor"/>
      </rPr>
      <t>Absolute difference: 2.1%</t>
    </r>
  </si>
  <si>
    <r>
      <t xml:space="preserve">Total: 13/4,052 (0.32%) LTFU.
Absolute difference </t>
    </r>
    <r>
      <rPr>
        <sz val="10"/>
        <color theme="1"/>
        <rFont val="Calibri"/>
        <family val="2"/>
      </rPr>
      <t>≤</t>
    </r>
    <r>
      <rPr>
        <sz val="7.5"/>
        <color theme="1"/>
        <rFont val="Calibri"/>
        <family val="2"/>
      </rPr>
      <t>0.32%</t>
    </r>
    <r>
      <rPr>
        <sz val="10"/>
        <color theme="1"/>
        <rFont val="Calibri"/>
        <family val="2"/>
        <scheme val="minor"/>
      </rPr>
      <t xml:space="preserve">
</t>
    </r>
  </si>
  <si>
    <t>Actively through annual contacts at screening visits and self-reports to annual questionaires; record linkage with local cancer registry, death certificates.
Medical records (pathology reports, medical letters from responsible physicians on diagnosis and treatment and radiology reports) was obtained by contacting the treating clinics.
No information on blinding.</t>
  </si>
  <si>
    <t>Record linkage with municipal population registers; death certificates from registers of the local health authorities; personal contact when linkage to registers failed (n=39).
Physicians who had certified death were contacted for details, particularly on a possible diagnosis of lung cancer. 
End point committee classified potential lung cancer deaths with full blinding.</t>
  </si>
  <si>
    <t>Surrogate: 7 years of FU;
Mortality: until 30/04/2018 (within 11 years of randomisation; median 8.9 years)</t>
  </si>
  <si>
    <r>
      <t xml:space="preserve">Self- or clinician-initiated X-ray or LDCT diagnostics for screening purposes:
13.0% (264/2,023) after a median of 9.96 years since randomisation.
</t>
    </r>
    <r>
      <rPr>
        <u/>
        <sz val="10"/>
        <color theme="1"/>
        <rFont val="Calibri"/>
        <family val="2"/>
        <scheme val="minor"/>
      </rPr>
      <t>During the active screening  period (1st - 5 years of FU):</t>
    </r>
    <r>
      <rPr>
        <sz val="10"/>
        <color theme="1"/>
        <rFont val="Calibri"/>
        <family val="2"/>
        <scheme val="minor"/>
      </rPr>
      <t xml:space="preserve">
98/2,023 (4.8%) (1 stage I cancer found);
</t>
    </r>
    <r>
      <rPr>
        <u/>
        <sz val="10"/>
        <color theme="1"/>
        <rFont val="Calibri"/>
        <family val="2"/>
        <scheme val="minor"/>
      </rPr>
      <t>After the active screening period:</t>
    </r>
    <r>
      <rPr>
        <sz val="10"/>
        <color theme="1"/>
        <rFont val="Calibri"/>
        <family val="2"/>
        <scheme val="minor"/>
      </rPr>
      <t xml:space="preserve">
134/2,023 (6.6%) (1 lung cancer found).
166/2,023 8.2%) (#632, median 9.96 years since randomisation) / No new screening intervention or exit screen.</t>
    </r>
  </si>
  <si>
    <t>Unclear risk ratings but no high risk ratings.</t>
  </si>
  <si>
    <t>10 years of FU.
Chose longest follow-up available; same analysis date as chosen surrogate.</t>
  </si>
  <si>
    <t>For both FU until June 2018</t>
  </si>
  <si>
    <t>16 years since enrolment.
However, the observed mortality rate in the control group was higher than assumed, which enabled us to detect a statistically significant reduction in mortality earlier than planned, at the end of 12 years.</t>
  </si>
  <si>
    <t>Both measured at the same timepoin (FU until 31/12/2011 (mean 8.0 years))</t>
  </si>
  <si>
    <r>
      <rPr>
        <b/>
        <sz val="10"/>
        <color theme="1"/>
        <rFont val="Calibri"/>
        <family val="2"/>
        <scheme val="minor"/>
      </rPr>
      <t>Breast cancer mortality</t>
    </r>
    <r>
      <rPr>
        <sz val="10"/>
        <color theme="1"/>
        <rFont val="Calibri"/>
        <family val="2"/>
        <scheme val="minor"/>
      </rPr>
      <t xml:space="preserve"> (per 100,000 PY); follow-up until May 2018 (March 2019) (median 18 years);
CBE (Breast) vs control</t>
    </r>
  </si>
  <si>
    <t>The entire study was planned for a period of 16 years to include 4 screening rounds followed by 4 monitoring rounds.</t>
  </si>
  <si>
    <t xml:space="preserve">Both measured at the same timepoint: FU until May 2018 (March 2019) (median 18 years) </t>
  </si>
  <si>
    <t>Target cancer specific mortality; SAP; same analysis date as the surrogate outcome.10 years in men.</t>
  </si>
  <si>
    <t>Both measured at the same timepoint (FU for 10 years from entry or until 31/12/2015)</t>
  </si>
  <si>
    <t>Sandblom 2011 #3726</t>
  </si>
  <si>
    <t xml:space="preserve">Surrogate: 31/12/1999
Mortality: FU until 31/12/2008 (20 years) or FU until 31/12/2003 (15 years) </t>
  </si>
  <si>
    <t>Contamination not assessed. Assumed to be low because "Opportunistic screening for prostate specific antigen is not practised as widely in Sweden as in the United States.15-17 Until 1994, less than one test per man aged 50 or older was performed in Sweden".
No exit screen or new screening intervention offered.</t>
  </si>
  <si>
    <t xml:space="preserve">Surrogate and mortality outcomes both measured until 31/12/2007 </t>
  </si>
  <si>
    <t>Both measured at 13 years of FU from entry or until 31/12/2009</t>
  </si>
  <si>
    <t>Ovarian cancer mortality (including primary peritoneal and fallopian tube cancer); 13 years after randomisation (28/02/2010)</t>
  </si>
  <si>
    <t>For both outcomes FU for 13 years after entry or until 28/02/2010</t>
  </si>
  <si>
    <t>5.1 answered with "Yes"</t>
  </si>
  <si>
    <t>Andriole 2009 (#1583)</t>
  </si>
  <si>
    <r>
      <t xml:space="preserve">Unknown Gleason score:
Intervention: 79/3,452 (2.3%)
Control: 61/2,974 (2.1%)
</t>
    </r>
    <r>
      <rPr>
        <b/>
        <sz val="10"/>
        <color theme="1"/>
        <rFont val="Calibri"/>
        <family val="2"/>
        <scheme val="minor"/>
      </rPr>
      <t>Total: 140/6,426 (2.2%)</t>
    </r>
  </si>
  <si>
    <r>
      <t xml:space="preserve">Unknown Gleason score:
Intervention: 79/3,452 (2.3%)
Control: 61/2,974 (2.1%)
</t>
    </r>
    <r>
      <rPr>
        <b/>
        <sz val="10"/>
        <color theme="1"/>
        <rFont val="Calibri"/>
        <family val="2"/>
        <scheme val="minor"/>
      </rPr>
      <t>Absolute difference: 0.2%</t>
    </r>
  </si>
  <si>
    <t>As of December 31, 2009 (the cutoff date for this analysis), the vital status of 92% of the trial participants was known at 10 years and of 57% of the participants at 13 years.
The 43% are most likely people who did not have 13 years of FU yet, but they have not been LTFU.</t>
  </si>
  <si>
    <t>Primarily by means of a mailed annual questionnaire, which asked about the type of cancer and the date of diagnosis in the previous year; Clinical stage was determined with the use of the tumor–node–metastasis staging system and categorized according to the fifth edition of the AJCC.
No information on blinding.</t>
  </si>
  <si>
    <t>Surrogate: FU for 10 years;
Mortality: FU for 13 years</t>
  </si>
  <si>
    <t>Screening period (year 0–5): 
PSA: 40% in the first year (33.1% had a screen as a part of a routine physical within 1 year); increased to 52% in the year 5 (46.9% had a screen as a part of a routine physical within 1 year); 
DRE: 41 to 46%.
Estimated mean number of PSA tests 2.7 per person. 
74% estimated to have had ≥1 screening PSA.
Postscreening period: PSA testing within the past year for screening 45.9%; for any reason 54.6%. 
Through 13 years of follow-up: 88% received any PSA testing.</t>
  </si>
  <si>
    <t>Postscreening period: PSA testing within the past year for screening 45.9%; for any reason 54.6%. 
Through 13 years of follow-up: 88% received any PSA testing.</t>
  </si>
  <si>
    <t>High risk due to contamination &gt;20%, occurring between measurement of the surrogate and mortality outcomes.</t>
  </si>
  <si>
    <t xml:space="preserve">Both had FU until 31/12/1995 (mean 62-63 months) </t>
  </si>
  <si>
    <t xml:space="preserve"> NA</t>
  </si>
  <si>
    <t>Successful randomisation - two groups very similar in terms of age, positivity for HBsAg and mortality (both mortality from causes other than liver cancer, and overall mortality).</t>
  </si>
  <si>
    <t>All deaths among cases linked with death records or death certicate notifications both from Qidong Cancer Registry and records of deaths in the register of vital events in Qidong. Deaths among registered liver cancer cases
were separated into those due to primary liver cancer, or those due to other causes.</t>
  </si>
  <si>
    <t>Cancer-specific mortality; Data for 'all sites', 'distal CRC' or 'proximal CRC'. A statistically significant reduction in mortality was expected to be detected after 11 years of FU.</t>
  </si>
  <si>
    <t>Same timepoint (FU until 31/12/1997 (mean 4.1-4.3 years) )</t>
  </si>
  <si>
    <t>"the screening groups were similar with respect to age, race, smoking, asbestos exposure"</t>
  </si>
  <si>
    <t>Both outcomes measured after 9 years of FU.</t>
  </si>
  <si>
    <t>Target-specific mortality; No SAP or power calculation available.
Chose timepoint with longest follow-up; same follow-up time as surrogate outcome.</t>
  </si>
  <si>
    <t>Both measured after 24 months.</t>
  </si>
  <si>
    <t>Both measured until 31/12/2006</t>
  </si>
  <si>
    <t>Target cancer-specific mortality; The observed mortality rate in the control population during the study was much higher than assumed, which enabled us to observe a significant effect on cancer rate and mortality 7 years from the beginning of the study, rather than waiting for 10 years, as predicted in the power calculations.
Only timepoint available.</t>
  </si>
  <si>
    <t>Both measured until 31/12/2004</t>
  </si>
  <si>
    <t>Target-specific mortality;  12 year of enrolment (10 years of FU?).
First time they have reported mortality. Before exit screen (which was performed 2006-2009).</t>
  </si>
  <si>
    <t>Breast cancer mortality in cancers diagnosed in the screening period (before first NHSBSP screen), followed up until 31/12/2011</t>
  </si>
  <si>
    <t xml:space="preserve">Surrogate: Screening period (before first NHSBSP screen) (latest 2006/2007ish; mean FU time 10.6 years);
Mortality: 31/12/2011 (median 17.7 years of FU)
</t>
  </si>
  <si>
    <t>New screening programme (NHSBSP) offered to all arms, but not included in surrogate or mortality outcomes /
Previous estimates of the extent of screening in the control group suggest that screening was limited, with only 4% of a sample of 2000 women reporting a mammogram other than for symptomatic reasons within the previous 3 years.</t>
  </si>
  <si>
    <t>Primary endpoint was mortality from breast cancers diagnosed during the intervention phase of the trial. Power calculations revised to 14 years of FU; originally 10 years of FU.</t>
  </si>
  <si>
    <t>Surrogate: FU until 1997
Mortality: FU until Jan 1998</t>
  </si>
  <si>
    <t>No significant differences between the groups for age, age at menarche, age at menopause, time since menopause, parity, use of oral contraceptive pill, smoking, hysterectomy rate, and outcome of the initial prevalence screen.</t>
  </si>
  <si>
    <t>Both measured at the same timepoint (FU until 31/12/2014 (mean 10.8 years))</t>
  </si>
  <si>
    <t>5.1. answered with 'Yes'</t>
  </si>
  <si>
    <t>Target cancer specific mortality; Original protocol: 
7 years after randomisation.
Extended follow-up until 31/12/2014;
follow--up extended again to 30/06/2020.
Same analysis date as for surrogate outcome.</t>
  </si>
  <si>
    <t>Surrogate 1; no stage data reported; only timepoint available.</t>
  </si>
  <si>
    <t>Cancer specific mortality; Higher than expected attendance rates; revised estimates suggested that the required number of endpoints to show a significant difference would be achieved at 11 years.</t>
  </si>
  <si>
    <t>No information on attrition between 4 years and median 7.3 years of FU.</t>
  </si>
  <si>
    <t>NHS Digital and the National Cancer Registration and Analysis Service (NCRAS) who were not aware of the participants’ allocated trial arm</t>
  </si>
  <si>
    <t>Target-specific mortality; SAP: For the initial FU report, the FU period is up to 29 February 2020 for mortality and up to 31 December 2019 for incidence of lung cancer.</t>
  </si>
  <si>
    <t>Surrogate and mortality both measured after 24 months of FU.</t>
  </si>
  <si>
    <t>Same FU time (median 10-year FU from entry)</t>
  </si>
  <si>
    <t>Surrogate 4 (early stage) and mortality both measured after 1 year.
No surrogate 1 reported. Rate as 'NA'?</t>
  </si>
  <si>
    <t xml:space="preserve">Answer 'Yes' if surrogate and mortality outcomes have been measured at the same timepoint/same year/same follow-up time after entry.
Answer 'No' if the surrogate outcome was measured earlier than the mortality outcome. Please not down how much earlier the surrogate outcome was measured (e.g. dates).
</t>
  </si>
  <si>
    <r>
      <t>5.2 If 5.1 'No' - Is the new screening intervention offered to all arms / exit screen offered to control arm(s) or contamination &gt;20% at any timepoint</t>
    </r>
    <r>
      <rPr>
        <b/>
        <sz val="10"/>
        <rFont val="Calibri"/>
        <family val="2"/>
        <scheme val="minor"/>
      </rPr>
      <t>?</t>
    </r>
  </si>
  <si>
    <t>Answer 'NA' if 5.1 answered with 'Yes'.
Answer 'Yes' if the new screening intervention was offered to all arms / exit screen offered to control arm(s) or contamination &gt;20% at any timepoint.
Answer 'No' if no new screening intervention was offered to all arms / no exit screen offered to control arm(s) and contamination was &lt;20% at any timepoint.
Answer 'No information' if there is no information to allow a judgement on 'Yes' or 'No'.</t>
  </si>
  <si>
    <t>Answer 'NA' if 5.1 answered with 'Yes' or 5.2 answered with 'No' or 'No information'.
Answer 'Yes' if the new screening intervention / exit screen / contamination &gt;20% occured between measurement of surrogate and mortality.
Answer 'No' if the new screening intervention / exit screen / contamination &gt;20% did not occur between measurement of surrogate and mortality.
Answer 'No information' if there is no information to allow a judgement on 'Yes' or 'No'.</t>
  </si>
  <si>
    <r>
      <rPr>
        <u/>
        <sz val="10"/>
        <color theme="1"/>
        <rFont val="Calibri"/>
        <family val="2"/>
        <scheme val="minor"/>
      </rPr>
      <t xml:space="preserve">Low risk: </t>
    </r>
    <r>
      <rPr>
        <b/>
        <sz val="10"/>
        <color theme="1"/>
        <rFont val="Calibri"/>
        <family val="2"/>
        <scheme val="minor"/>
      </rPr>
      <t xml:space="preserve">5.1 </t>
    </r>
    <r>
      <rPr>
        <sz val="10"/>
        <color theme="1"/>
        <rFont val="Calibri"/>
        <family val="2"/>
        <scheme val="minor"/>
      </rPr>
      <t xml:space="preserve">answered with 'No' AND </t>
    </r>
    <r>
      <rPr>
        <b/>
        <sz val="10"/>
        <color theme="1"/>
        <rFont val="Calibri"/>
        <family val="2"/>
        <scheme val="minor"/>
      </rPr>
      <t xml:space="preserve">5.2 </t>
    </r>
    <r>
      <rPr>
        <sz val="10"/>
        <color theme="1"/>
        <rFont val="Calibri"/>
        <family val="2"/>
        <scheme val="minor"/>
      </rPr>
      <t>answered with 'No'.</t>
    </r>
    <r>
      <rPr>
        <u/>
        <sz val="10"/>
        <color theme="1"/>
        <rFont val="Calibri"/>
        <family val="2"/>
        <scheme val="minor"/>
      </rPr>
      <t xml:space="preserve">
Unclear risk:</t>
    </r>
    <r>
      <rPr>
        <sz val="10"/>
        <color theme="1"/>
        <rFont val="Calibri"/>
        <family val="2"/>
        <scheme val="minor"/>
      </rPr>
      <t xml:space="preserve"> </t>
    </r>
    <r>
      <rPr>
        <b/>
        <sz val="10"/>
        <color theme="1"/>
        <rFont val="Calibri"/>
        <family val="2"/>
        <scheme val="minor"/>
      </rPr>
      <t xml:space="preserve">5.1 </t>
    </r>
    <r>
      <rPr>
        <sz val="10"/>
        <color theme="1"/>
        <rFont val="Calibri"/>
        <family val="2"/>
        <scheme val="minor"/>
      </rPr>
      <t>answered with 'Yes' OR (</t>
    </r>
    <r>
      <rPr>
        <b/>
        <sz val="10"/>
        <color theme="1"/>
        <rFont val="Calibri"/>
        <family val="2"/>
        <scheme val="minor"/>
      </rPr>
      <t>5.2</t>
    </r>
    <r>
      <rPr>
        <sz val="10"/>
        <color theme="1"/>
        <rFont val="Calibri"/>
        <family val="2"/>
        <scheme val="minor"/>
      </rPr>
      <t xml:space="preserve"> answered with 'Yes' and </t>
    </r>
    <r>
      <rPr>
        <b/>
        <sz val="10"/>
        <color theme="1"/>
        <rFont val="Calibri"/>
        <family val="2"/>
        <scheme val="minor"/>
      </rPr>
      <t>5.3</t>
    </r>
    <r>
      <rPr>
        <sz val="10"/>
        <color theme="1"/>
        <rFont val="Calibri"/>
        <family val="2"/>
        <scheme val="minor"/>
      </rPr>
      <t xml:space="preserve"> answered with 'No' or 'No information') OR (</t>
    </r>
    <r>
      <rPr>
        <b/>
        <sz val="10"/>
        <color theme="1"/>
        <rFont val="Calibri"/>
        <family val="2"/>
        <scheme val="minor"/>
      </rPr>
      <t xml:space="preserve">5.2 </t>
    </r>
    <r>
      <rPr>
        <sz val="10"/>
        <color theme="1"/>
        <rFont val="Calibri"/>
        <family val="2"/>
        <scheme val="minor"/>
      </rPr>
      <t xml:space="preserve">answered with 'No information'). 
</t>
    </r>
    <r>
      <rPr>
        <u/>
        <sz val="10"/>
        <color theme="1"/>
        <rFont val="Calibri"/>
        <family val="2"/>
        <scheme val="minor"/>
      </rPr>
      <t>High risk:</t>
    </r>
    <r>
      <rPr>
        <sz val="10"/>
        <color theme="1"/>
        <rFont val="Calibri"/>
        <family val="2"/>
        <scheme val="minor"/>
      </rPr>
      <t xml:space="preserve"> </t>
    </r>
    <r>
      <rPr>
        <b/>
        <sz val="10"/>
        <color theme="1"/>
        <rFont val="Calibri"/>
        <family val="2"/>
        <scheme val="minor"/>
      </rPr>
      <t>5.3</t>
    </r>
    <r>
      <rPr>
        <sz val="10"/>
        <color theme="1"/>
        <rFont val="Calibri"/>
        <family val="2"/>
        <scheme val="minor"/>
      </rPr>
      <t xml:space="preserve"> answered with 'Yes'.
</t>
    </r>
  </si>
  <si>
    <t>Main analysis time point; cancer-specific mortality; core age group.</t>
  </si>
  <si>
    <t>Surrogate and mortality outcomes have the same analysis date / follow-up time.</t>
  </si>
  <si>
    <t>Surrogate 4; early-stage as defined in paper; only timepoint available.</t>
  </si>
  <si>
    <t>Stage I-II lung cancer; FU until 31/12/2019</t>
  </si>
  <si>
    <r>
      <t xml:space="preserve">No stage data or staging not done </t>
    </r>
    <r>
      <rPr>
        <b/>
        <sz val="10"/>
        <color rgb="FF000000"/>
        <rFont val="Calibri"/>
        <family val="2"/>
        <scheme val="minor"/>
      </rPr>
      <t>until 31/12/2019</t>
    </r>
    <r>
      <rPr>
        <sz val="10"/>
        <color rgb="FF000000"/>
        <rFont val="Calibri"/>
        <family val="2"/>
        <scheme val="minor"/>
      </rPr>
      <t xml:space="preserve">:
Study group: 16/86 (18.6%)
Controls: 20/75 (26.7%)
Total: 36/161 (22.36%)
</t>
    </r>
  </si>
  <si>
    <r>
      <t xml:space="preserve">No stage data or staging not done </t>
    </r>
    <r>
      <rPr>
        <b/>
        <sz val="10"/>
        <color theme="1"/>
        <rFont val="Calibri"/>
        <family val="2"/>
        <scheme val="minor"/>
      </rPr>
      <t>until 31/12/2019:</t>
    </r>
    <r>
      <rPr>
        <sz val="10"/>
        <color theme="1"/>
        <rFont val="Calibri"/>
        <family val="2"/>
        <scheme val="minor"/>
      </rPr>
      <t xml:space="preserve">
Study group: 16/86 (18.6%)
Controls: 20/75 (26.7%)
Absolute difference: 8.1%</t>
    </r>
  </si>
  <si>
    <t>Surrogate: median 7 years from entry (31/12/2019);
Mortality: median 7 years from entry (29/02/2020)</t>
  </si>
  <si>
    <t>5.1 answered with 'yes'</t>
  </si>
  <si>
    <t>High risk rating in domain 3 (missing stage data).</t>
  </si>
  <si>
    <t xml:space="preserve">Incidence of stage I-II NSCLC; FU for 13 years from entry or until 31/12/2009
</t>
  </si>
  <si>
    <t>Screening arm: 20/1,467 (1.4%)
Control arm: 11/1,385 (0.8%)
Total: 31/2,852 (1.1%)</t>
  </si>
  <si>
    <t>Screening arm: 20/1,467 (1.4%)
Control arm: 11/1,385 (0.8%)
Absolute difference: 0.6%</t>
  </si>
  <si>
    <t>Surrogate: after 13 years of FU or 31/12/2009
Mortality: after 13 years of FU or 31/12/2009</t>
  </si>
  <si>
    <t>Kubik 1986 (#656)</t>
  </si>
  <si>
    <t>Absolute incidence of lung cancers (incident), stage I at diagnosis (per 1,000 men); 
diagnosed in 3-year period after baseline exam (including 3-year screen</t>
  </si>
  <si>
    <t>Surrogate: Measured after 3 years from entry.
Mortality: After 15 years from entry.</t>
  </si>
  <si>
    <t xml:space="preserve">3 domains rated as 'Low risk' and 2 domains as 'Unclear risk'. </t>
  </si>
  <si>
    <t>Absolute incidence of CRC with N=0 in men and women (or separately by sex); follow-up until 31/12/2011</t>
  </si>
  <si>
    <t>Absolute incidence of Dukes'A-B CRC  (per 1,000 PY); August 1985 - August 1995</t>
  </si>
  <si>
    <t>Surrogate 4;  analysis date closest to mortality date; Paimela 2010 defines early stage as stage I–II, T1–4 N0 M0</t>
  </si>
  <si>
    <t>Surrogate 1; early stage as defined in paper; Advanced = stage C, distant spread, and no
classification; analysis 10 years after study initiation as originally planned (but biennial screening continued after 3 rounds)</t>
  </si>
  <si>
    <t>Absolute incidence of Dukes' A-B CRC; all cohorts (DOB 1918-1931); up to 31/12/2001</t>
  </si>
  <si>
    <t>Surrogate 4; early-stage not defined; Dukes' D defined as "advanced" in #7888; same end of follow-up as chosen mortality outcome</t>
  </si>
  <si>
    <t>Incidence of Dukes' A CRC; 13 years of follow-up</t>
  </si>
  <si>
    <t>Surrogate 4; only timepoint with reported stage data (after 18 years of follow-up, stage data can only be estimated from a bar chart); early-stage defined as stage A?</t>
  </si>
  <si>
    <r>
      <t xml:space="preserve">Dukes’ A-B CRC </t>
    </r>
    <r>
      <rPr>
        <b/>
        <sz val="10"/>
        <color theme="1"/>
        <rFont val="Calibri"/>
        <family val="2"/>
        <scheme val="minor"/>
      </rPr>
      <t>in people aged 55-64 years</t>
    </r>
    <r>
      <rPr>
        <sz val="10"/>
        <color theme="1"/>
        <rFont val="Calibri"/>
        <family val="2"/>
        <scheme val="minor"/>
      </rPr>
      <t>; FU until 31/12/2006 (median 7 years (range 6-8) of FU)</t>
    </r>
  </si>
  <si>
    <t>Single screen up to Dec 2001. Timepoint provides sufficient FU after intervention and is earlier than mortality.
Early-stage as defined in paper.</t>
  </si>
  <si>
    <t>Dukes' A-B CRC; median 10-year follow-up</t>
  </si>
  <si>
    <t>Early-stage as defined in paper; only timepoint available</t>
  </si>
  <si>
    <t xml:space="preserve">Incidence of Dukes’ A-B CRC;
FU until 30/06/1995 </t>
  </si>
  <si>
    <t>3-6 screening rounds (biennial), so screening is ongoing for minimum up to 4 years since entry (Feb 1995). Mean FU of alternative timepoint is before screening has ended. Early-stage not defined in paper.</t>
  </si>
  <si>
    <t>Absolute incidence of stage I-II CRC; 13 years since randomisation or 31 Dec 2009</t>
  </si>
  <si>
    <t>Early-stage defined as stage I-II. Only timepoint available.</t>
  </si>
  <si>
    <t>No early-stage data reported</t>
  </si>
  <si>
    <t>No early-stage data reported.</t>
  </si>
  <si>
    <t>Not applicable as not data for surrogate 4 reported.</t>
  </si>
  <si>
    <t>Absolute incidence of Dukes' A-B CRC; follow-up until 1993</t>
  </si>
  <si>
    <t>1-2 rounds
(single screen or 2-year interval); screening would have ended after 2 years of FU. Alternative timepoint provides sufficient FU and is earlier than mortality. Early-stage not defined in paper.</t>
  </si>
  <si>
    <t xml:space="preserve">Absolute incidence of node-negative, invasive breast cancers, FU through 7 years </t>
  </si>
  <si>
    <t>Surrogate 4; agreed with Nefeli, Matejka and Adam to use incidence of node-negative breast cancers through 7 years of FU</t>
  </si>
  <si>
    <t>Absolute incidence of stage 0-II breast cancers in cohort 1 after 7 years of follow-up</t>
  </si>
  <si>
    <t>Surrogate 4; early-stage not defined in paper; follow-up time as in SAP; same timepoint as mortality</t>
  </si>
  <si>
    <t>Absolute incidence of lymph node-negative, invasive breast cancers detected in screening period (including cancers detected at screen 1 from the control group)</t>
  </si>
  <si>
    <t>Surrogate 4; only stage approximation reported for the whole trial; early-stage not defined in paper.</t>
  </si>
  <si>
    <r>
      <t xml:space="preserve">Incidence of </t>
    </r>
    <r>
      <rPr>
        <b/>
        <sz val="10"/>
        <color theme="1"/>
        <rFont val="Calibri"/>
        <family val="2"/>
        <scheme val="minor"/>
      </rPr>
      <t>node-negative</t>
    </r>
    <r>
      <rPr>
        <sz val="10"/>
        <color theme="1"/>
        <rFont val="Calibri"/>
        <family val="2"/>
        <scheme val="minor"/>
      </rPr>
      <t xml:space="preserve"> breast cancers in the first 5 years from entry</t>
    </r>
  </si>
  <si>
    <t>Only have data available on node status and size. Early-stage not defined.
5 years from entry is about 1.5 years after screening stopped, and we have mortality data for these cancers.</t>
  </si>
  <si>
    <t>Absolute incidence of stage 0-I (UICC) breast cancer; follow-up to 31/12/1986;</t>
  </si>
  <si>
    <t>Early stage as defined as non-invasive or invasive ≤10 mm; late-stage defined as stages II-IV or axillary metastasis; predetermined end of trial was 31/12/1986</t>
  </si>
  <si>
    <r>
      <t xml:space="preserve">Absolute incidence of stage I-II </t>
    </r>
    <r>
      <rPr>
        <b/>
        <sz val="10"/>
        <color theme="1"/>
        <rFont val="Calibri"/>
        <family val="2"/>
        <scheme val="minor"/>
      </rPr>
      <t>breast cancer</t>
    </r>
    <r>
      <rPr>
        <sz val="10"/>
        <color theme="1"/>
        <rFont val="Calibri"/>
        <family val="2"/>
        <scheme val="minor"/>
      </rPr>
      <t xml:space="preserve"> (per 100,000 PY); 
follow-up until May 2018 (March 2019) (median 18 years)
CBE (Breast) vs control</t>
    </r>
  </si>
  <si>
    <t>Surrogate 4; early stage as defined in paper. Only timepoint available.</t>
  </si>
  <si>
    <t>Incidence of node-negative breast cancer; up to 31/12/1994</t>
  </si>
  <si>
    <t>First intervention received between 1985 – 1989 and a min of 2 sessions (up to 4) were provided in 3 year intervals. Participants that received their first session in 1989 are still expected to receive their 2nd session in 1992, so after our alternative timepoint. Early-stage not defined in paper.</t>
  </si>
  <si>
    <t>Absolute incidence of breast cancers that were Tis (in situ) or 
T1 (≤2 cm); at diagnosis up to 31/12/2000</t>
  </si>
  <si>
    <t xml:space="preserve">Same timepoint as mortality. At the alternative timepoint, BSE is still ongoing. Early stage as defined in paper. </t>
  </si>
  <si>
    <t xml:space="preserve">CIS and stage I breast cancers; detected in screening period (including exit screen) (1981-1986)
</t>
  </si>
  <si>
    <t>Surrogate 4; late stage defined as stages II-IV; early-stage not defined in paper; cancers detected in screening period including exit screen in control arm</t>
  </si>
  <si>
    <t>Absolute incidence of stage I-II breast cancers (per 100,000 PY); follow-up until 31/12/2019;
CBE vs control</t>
  </si>
  <si>
    <t>Surrogate 4; early stage as defined in paper; same follow-up time as for chosen mortality outcome</t>
  </si>
  <si>
    <t>Absolute incidence of DCIS and stage I breast cancers (per 1,000 women aged 40-74 years); diagnosed up to 31/12/1984</t>
  </si>
  <si>
    <t>Intervention is ongoing when mortality is measured. Same FU as mortality used for surrogate. Early-stage defined as stage I. Added DCIS as defined in our protocol.</t>
  </si>
  <si>
    <t xml:space="preserve">Incidence of node-negative invasive breast cancers diagnosed in the screening period (before first NHSBSP screen).
</t>
  </si>
  <si>
    <r>
      <t xml:space="preserve">Could also use invasive breast cancers </t>
    </r>
    <r>
      <rPr>
        <sz val="10"/>
        <color theme="1"/>
        <rFont val="Aptos Narrow"/>
        <family val="2"/>
      </rPr>
      <t>≤</t>
    </r>
    <r>
      <rPr>
        <sz val="10"/>
        <color theme="1"/>
        <rFont val="Calibri"/>
        <family val="2"/>
        <scheme val="minor"/>
      </rPr>
      <t>20mm; otherwise the only surrogate reported; includes all cancers diagnosed in the screening period. Screening did not end until 2006 / 7. Alternative timepoint too early.</t>
    </r>
  </si>
  <si>
    <r>
      <t xml:space="preserve">Absolute incidence of </t>
    </r>
    <r>
      <rPr>
        <b/>
        <sz val="10"/>
        <color theme="1"/>
        <rFont val="Calibri"/>
        <family val="2"/>
        <scheme val="minor"/>
      </rPr>
      <t>invasive cervical cancer</t>
    </r>
    <r>
      <rPr>
        <sz val="10"/>
        <color theme="1"/>
        <rFont val="Calibri"/>
        <family val="2"/>
        <scheme val="minor"/>
      </rPr>
      <t xml:space="preserve"> with stage &lt;IIB (per 100,000 PY) after 12 years (31/12/2011);
VIA (Cervix) vs control</t>
    </r>
  </si>
  <si>
    <t>Absolute incidence of stage I cervical cancer; FU until 31/12/2007</t>
  </si>
  <si>
    <t>Absolute incidence of stage I invasive cervical cancer; follow-up until 31/12/2006</t>
  </si>
  <si>
    <t>Absolute incidence of CIN3/AIS (non-invasive cervical cacner); follow-up until 31/12/2007</t>
  </si>
  <si>
    <t>Surrogate 4; early stage as defined in paper; only timepoint available</t>
  </si>
  <si>
    <t>Surrogate 4; only paper with stage data available; late stage as defined as stage II+; early stage not defined in paper. Screening has just ended in Nov 2003. Not sufficient time after end of intervention for alternative timepoint.</t>
  </si>
  <si>
    <t>Surrogate 4; early stage as defined in paper; Screening has just ended in 30/04/2003. Not sufficient time after end of intervention for alternative timepoint.</t>
  </si>
  <si>
    <t>Absolute incidence of stage I liver cancer (per 100,000 PY); follow-up until 31/12/1995;
AFP + ALT (6 monthly) vs one-off</t>
  </si>
  <si>
    <t>Absolute incidence of liver cancer, stage I at diagnosis (per 1,000 people); follow-up until 31 December 1997</t>
  </si>
  <si>
    <t>Stage I defined in paper as early stage; only timepoint available</t>
  </si>
  <si>
    <t>Only timepoint available; early-stage not defined in paper, late stage = stage III</t>
  </si>
  <si>
    <t>Absolute incidence of stage I lung cancers diagnosed up to 15 May 2013</t>
  </si>
  <si>
    <t>Surrogate 4, same follow-up time as chosen mortality outcome; early-stage as defined in paper</t>
  </si>
  <si>
    <t>Absolute incidence of stage I-II lung cancer (per 100 people); follow-up until 7 April 2015;
Screening vs control</t>
  </si>
  <si>
    <t>Early stage as defined by paper; same timepoint as mortality</t>
  </si>
  <si>
    <t>Absolute incidence of stage I-II lung cancers; diagnosed up to 31 December 2013 (per 100 people);
Screening vs control</t>
  </si>
  <si>
    <t xml:space="preserve">Surrogate 4; surrogate measured 31/12/2013; mortality measured 31/12/2014. Alternative timepoint after mortality. </t>
  </si>
  <si>
    <t>Absolute incidence of stage 0-I lung cancers (per 1,000 men or per 100,000 PY); 
9 years of follow-up after study entry; 
Screening vs another type of screening</t>
  </si>
  <si>
    <t>Surrogate 4; same follow-up time as mortality outcome. Alternative timepoint only provides information on prevalence screen. Early-stage not defined by trialists.</t>
  </si>
  <si>
    <t>Absolute incidence of stage I-II lung cancer, baseline screen, year 1 screen and interval cancers (per 1000 people);
LDCT vs chest X-ray</t>
  </si>
  <si>
    <t>Surrogate 4; stage III-IV defined as late-stage in paper; early-stage not defined; only timepoint available.</t>
  </si>
  <si>
    <t xml:space="preserve">Incidence of stage I lung cancer: 7 years of FU since entry </t>
  </si>
  <si>
    <t>Halfway point between 4y since entry (last screen) and 10y since entry (median mortality FU); stage I (alternative stage I-II) defined as early-stage.</t>
  </si>
  <si>
    <t>Absolute incidence of lung cancer with stage 0-II at diagnosis (per 100 men randomised); up to 1 July 1983 (6-year screening period plus 1-5.5 years postscreen);
4-monthly vs control</t>
  </si>
  <si>
    <t>Absolute incidence of stage 0-I lung cancers (per 100 men randomised); follow-up until 9 years since study entry;
Dual screen vs X-ray only</t>
  </si>
  <si>
    <t>Surrogate 4; early-stage definition as used by trialists; follow-up time until end of MLP study.</t>
  </si>
  <si>
    <t>Surrogate 4; Alternative timepoint does not have sufficient FU after intervention has ended (Oct 1982); early-stage =  cancers that can be resected.</t>
  </si>
  <si>
    <t>Absolute incidence of stage I lung cancers (per 100,000 PY); follow-up until June 2018;
LDCT (annual and biennial combined) vs control</t>
  </si>
  <si>
    <t>Screening period is ~6 years since entry. Alternative timepoint does not have sufficient FU after intervention has ended (for most participants &lt;6y); stage I defined as early stage by trialists.</t>
  </si>
  <si>
    <t>Absolute incidence of stage I-II lung cancers (per 1,000 men); at 10-years' follow-up or 31/12/2015;
Screening vs no screening</t>
  </si>
  <si>
    <t>Surrogate 4; late stage defined as stage III-IV; early-stage not defined by trialists; only timepoint available.</t>
  </si>
  <si>
    <t>Absolute incidence of stage I-II lung cancers (per 100 people randomised); follow-up until 31/12/2009</t>
  </si>
  <si>
    <t xml:space="preserve">No definition of early stage is given; same timepoint as mortality </t>
  </si>
  <si>
    <t>Only timepoint available; early-stage not defined in paper, late stage = stage III-IV</t>
  </si>
  <si>
    <t>Absolute incidence of NPC diagnosed at stage I-II (per 1,000 people); follow-up until 31 December 2014</t>
  </si>
  <si>
    <t>they define early stages as I+II in the 2019 paper; only timepoint available</t>
  </si>
  <si>
    <t>Absolute incidence of stage I-II oral cancers (per 100,000 PY);
follow-up until 31/12/2004;
Screening vs control</t>
  </si>
  <si>
    <t>Surrogate 4; early stage as defined in paper; Intervention is ongoing (last: 2006-2009) when mortality is measured. Same FU as mortality.</t>
  </si>
  <si>
    <t>Incidence of stage I-II ovarian cancer (including primary peritoneal and fallopian tube cancer); FU for 13 years after entry or until 28/02/2010</t>
  </si>
  <si>
    <t>Surrogate 4; early stage as reported in #915; Not sufficient FU after end of screening for alternative timepoint.</t>
  </si>
  <si>
    <t>Absolute incidence of stage I-II ovarian cancers (per 1,000 women randomised);
Follow-up until 1997;
Screening vs no screening</t>
  </si>
  <si>
    <t>Surrogate 4; only timepoint available; stage I-II defined as early-stage.</t>
  </si>
  <si>
    <t>Absolute incidence of stage I-II ovarian cancers; follow-up until 31/12/2014</t>
  </si>
  <si>
    <t>Surrogate 4; Early-stage as defined by trialists; alternative timepoint after mortality.</t>
  </si>
  <si>
    <r>
      <t xml:space="preserve">Prostate cancer with Gleason score </t>
    </r>
    <r>
      <rPr>
        <sz val="10"/>
        <color theme="1"/>
        <rFont val="Aptos Narrow"/>
        <family val="2"/>
      </rPr>
      <t>≤</t>
    </r>
    <r>
      <rPr>
        <sz val="11.2"/>
        <color theme="1"/>
        <rFont val="Calibri"/>
        <family val="2"/>
      </rPr>
      <t>7</t>
    </r>
    <r>
      <rPr>
        <sz val="10"/>
        <color theme="1"/>
        <rFont val="Calibri"/>
        <family val="2"/>
        <scheme val="minor"/>
      </rPr>
      <t>; median FU for &lt;6 years of FU from entry</t>
    </r>
  </si>
  <si>
    <r>
      <t xml:space="preserve">Surrogate 4; agreed to use Gleason </t>
    </r>
    <r>
      <rPr>
        <sz val="10"/>
        <color theme="1"/>
        <rFont val="Aptos Narrow"/>
        <family val="2"/>
      </rPr>
      <t>≤</t>
    </r>
    <r>
      <rPr>
        <sz val="11.2"/>
        <color theme="1"/>
        <rFont val="Calibri"/>
        <family val="2"/>
      </rPr>
      <t>7</t>
    </r>
    <r>
      <rPr>
        <sz val="10"/>
        <color theme="1"/>
        <rFont val="Calibri"/>
        <family val="2"/>
        <scheme val="minor"/>
      </rPr>
      <t xml:space="preserve"> as best early-stage surrogate; chose halfway point between 18 months (screening period) to 10 years (median mortality).</t>
    </r>
  </si>
  <si>
    <r>
      <t xml:space="preserve">Absolute incidence of prostate cancers with Gleason score </t>
    </r>
    <r>
      <rPr>
        <sz val="10"/>
        <color theme="1"/>
        <rFont val="Aptos Narrow"/>
        <family val="2"/>
      </rPr>
      <t>≤</t>
    </r>
    <r>
      <rPr>
        <sz val="11.2"/>
        <color theme="1"/>
        <rFont val="Calibri"/>
        <family val="2"/>
      </rPr>
      <t>7</t>
    </r>
    <r>
      <rPr>
        <sz val="10"/>
        <color theme="1"/>
        <rFont val="Calibri"/>
        <family val="2"/>
        <scheme val="minor"/>
      </rPr>
      <t xml:space="preserve"> at diagnosis in men aged 55-69 years;
whole trial (excluding France);
up to 31/12/2008</t>
    </r>
  </si>
  <si>
    <r>
      <t xml:space="preserve">Main analysis time point; surrogate 4; agreed to use Gleason score </t>
    </r>
    <r>
      <rPr>
        <sz val="10"/>
        <color theme="1"/>
        <rFont val="Aptos Narrow"/>
        <family val="2"/>
      </rPr>
      <t>≤</t>
    </r>
    <r>
      <rPr>
        <sz val="11.2"/>
        <color theme="1"/>
        <rFont val="Calibri"/>
        <family val="2"/>
      </rPr>
      <t xml:space="preserve">7 </t>
    </r>
    <r>
      <rPr>
        <sz val="10"/>
        <color theme="1"/>
        <rFont val="Calibri"/>
        <family val="2"/>
        <scheme val="minor"/>
      </rPr>
      <t>as early-stage surrogate; core age group; Intervention is ongoing when mortality is measured. Same FU as mortality used for surrogate.</t>
    </r>
  </si>
  <si>
    <t>Absolute incidence of prostate cancer with Gleason score ≤6;
median 19 years of follow-up</t>
  </si>
  <si>
    <t>Surrogate 4; only timepoint available; agreed with Adam and Matejka that Gleason is a better late stage surrogate than TNM stage; only report cut-off ≤6.</t>
  </si>
  <si>
    <t>Absolute incidence (per 100 men) of localised prostate cancer (T1-2, N0 and M0);
cancers diagnosed up to 31 December 1999</t>
  </si>
  <si>
    <t>Surrogate 1, TNM stage; early-stage as defined in the paper. Only timepoint available.</t>
  </si>
  <si>
    <t xml:space="preserve">Surrogate 4; discussed for the UK CAP trial with Matejka and Adam to use Gleason ≤7 as early-stage if reported.
Intervention period ended at 5 years since randomisation. The alternative timepoint provides sufficient FU after the end of the intervention and is before the mortality endpoint.
</t>
  </si>
  <si>
    <t>Absolute incidence of Gleason ≤7 prostate cancers; max 10 years of FU</t>
  </si>
  <si>
    <t xml:space="preserve">Stage I-II cancer diagnosed within 2 years of follow-up
</t>
  </si>
  <si>
    <t>Late stage defined in paper as stage IV; early-stage not defined; only timepoint available</t>
  </si>
  <si>
    <t>Absolute incidence of cancers with T1–2N0M0 diagnosed during 24-month follow-up</t>
  </si>
  <si>
    <t>Early-stage as defined in paper; surrogate 4; reported for cancers detected at initial screen and during 2-year follow-up.</t>
  </si>
  <si>
    <t>Absolute incidence of early-stage cancers (T1-2N0M0); initial screen and 1 year follow-up;
Torso CT vs usual care involving non-standardised screening</t>
  </si>
  <si>
    <t>Early-stage as defined in paper;  Only timepoint available for surrogate 4.</t>
  </si>
  <si>
    <t>Early-stage cancers (T1 or T2 without loco-regional or distant metastases (N0 M0)) diagnosed within 2 years of follow-up</t>
  </si>
  <si>
    <t>Early cancer defined as T1 or T2 with N0 and M0.Only timepoint available.</t>
  </si>
  <si>
    <t>PLCO (CRC)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</si>
</sst>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b/>
      <u/>
      <sz val="10"/>
      <color theme="1"/>
      <name val="Calibri"/>
      <family val="2"/>
      <scheme val="minor"/>
    </font>
    <font>
      <sz val="10"/>
      <color rgb="FF00B050"/>
      <name val="Calibri"/>
      <family val="2"/>
      <scheme val="minor"/>
    </font>
    <font>
      <sz val="10"/>
      <color rgb="FFFF0000"/>
      <name val="Calibri"/>
      <family val="2"/>
      <scheme val="minor"/>
    </font>
    <font>
      <u/>
      <sz val="10"/>
      <color theme="1"/>
      <name val="Calibri"/>
      <family val="2"/>
      <scheme val="minor"/>
    </font>
    <font>
      <b/>
      <sz val="10"/>
      <color theme="1"/>
      <name val="Calibri"/>
      <family val="2"/>
    </font>
    <font>
      <sz val="10"/>
      <color theme="1"/>
      <name val="Calibri"/>
      <family val="2"/>
    </font>
    <font>
      <sz val="10"/>
      <name val="Calibri"/>
      <family val="2"/>
      <scheme val="minor"/>
    </font>
    <font>
      <sz val="10"/>
      <color theme="9"/>
      <name val="Calibri"/>
      <family val="2"/>
      <scheme val="minor"/>
    </font>
    <font>
      <sz val="10"/>
      <color rgb="FF000000"/>
      <name val="Calibri"/>
      <family val="2"/>
      <scheme val="minor"/>
    </font>
    <font>
      <b/>
      <sz val="10"/>
      <color rgb="FF000000"/>
      <name val="Calibri"/>
      <family val="2"/>
      <scheme val="minor"/>
    </font>
    <font>
      <sz val="7.5"/>
      <color theme="1"/>
      <name val="Calibri"/>
      <family val="2"/>
    </font>
    <font>
      <b/>
      <sz val="10"/>
      <name val="Calibri"/>
      <family val="2"/>
      <scheme val="minor"/>
    </font>
    <font>
      <sz val="10"/>
      <color theme="1"/>
      <name val="Aptos Narrow"/>
      <family val="2"/>
    </font>
    <font>
      <sz val="11.2"/>
      <color theme="1"/>
      <name val="Calibri"/>
      <family val="2"/>
    </font>
  </fonts>
  <fills count="23">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7ED9E8"/>
        <bgColor indexed="64"/>
      </patternFill>
    </fill>
    <fill>
      <patternFill patternType="solid">
        <fgColor rgb="FFA8EBF0"/>
        <bgColor indexed="64"/>
      </patternFill>
    </fill>
    <fill>
      <patternFill patternType="solid">
        <fgColor rgb="FFCCFF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0">
    <xf numFmtId="0" fontId="0" fillId="0" borderId="0" xfId="0"/>
    <xf numFmtId="0" fontId="1" fillId="0" borderId="0" xfId="0" applyFont="1"/>
    <xf numFmtId="0" fontId="3" fillId="0" borderId="0" xfId="0" applyFont="1"/>
    <xf numFmtId="0" fontId="3" fillId="0" borderId="0" xfId="0" applyFont="1" applyAlignment="1">
      <alignment horizontal="left" vertical="top"/>
    </xf>
    <xf numFmtId="0" fontId="0" fillId="0" borderId="0" xfId="0" applyAlignment="1">
      <alignment vertical="top"/>
    </xf>
    <xf numFmtId="0" fontId="2" fillId="0" borderId="0" xfId="0" applyFont="1" applyAlignment="1">
      <alignment vertical="top" wrapText="1"/>
    </xf>
    <xf numFmtId="0" fontId="3" fillId="0" borderId="0" xfId="0" applyFont="1" applyAlignment="1">
      <alignment horizontal="left"/>
    </xf>
    <xf numFmtId="0" fontId="0" fillId="0" borderId="0" xfId="0" applyAlignment="1">
      <alignment horizontal="left"/>
    </xf>
    <xf numFmtId="0" fontId="0" fillId="0" borderId="0" xfId="0" applyAlignment="1">
      <alignment vertical="top" wrapText="1"/>
    </xf>
    <xf numFmtId="0" fontId="2" fillId="9" borderId="0" xfId="0" applyFont="1" applyFill="1" applyAlignment="1">
      <alignment horizontal="left" vertical="top" wrapText="1"/>
    </xf>
    <xf numFmtId="0" fontId="2" fillId="9" borderId="0" xfId="0" applyFont="1" applyFill="1" applyAlignment="1">
      <alignment horizontal="left" vertical="top"/>
    </xf>
    <xf numFmtId="0" fontId="3" fillId="13"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0" applyFont="1" applyFill="1" applyAlignment="1">
      <alignment horizontal="left" vertical="top" wrapText="1"/>
    </xf>
    <xf numFmtId="0" fontId="3" fillId="6" borderId="0" xfId="0" applyFont="1" applyFill="1" applyAlignment="1">
      <alignment horizontal="left" vertical="top"/>
    </xf>
    <xf numFmtId="0" fontId="2" fillId="0" borderId="0" xfId="0" applyFont="1" applyAlignment="1">
      <alignment vertical="top"/>
    </xf>
    <xf numFmtId="0" fontId="2" fillId="0" borderId="0" xfId="0" quotePrefix="1" applyFont="1" applyAlignment="1">
      <alignment horizontal="left" vertical="top" wrapText="1"/>
    </xf>
    <xf numFmtId="0" fontId="3" fillId="9" borderId="0" xfId="0" applyFont="1" applyFill="1" applyAlignment="1">
      <alignment horizontal="left" vertical="top"/>
    </xf>
    <xf numFmtId="0" fontId="3" fillId="9" borderId="0" xfId="0" applyFont="1" applyFill="1" applyAlignment="1">
      <alignment horizontal="left" vertical="top" wrapText="1"/>
    </xf>
    <xf numFmtId="0" fontId="3" fillId="4" borderId="0" xfId="0" applyFont="1" applyFill="1" applyAlignment="1">
      <alignment horizontal="left" vertical="top" wrapText="1"/>
    </xf>
    <xf numFmtId="0" fontId="3" fillId="2" borderId="0" xfId="0" applyFont="1" applyFill="1" applyAlignment="1">
      <alignment horizontal="left" vertical="top" wrapText="1"/>
    </xf>
    <xf numFmtId="0" fontId="0" fillId="15" borderId="0" xfId="0" applyFill="1"/>
    <xf numFmtId="0" fontId="0" fillId="9" borderId="0" xfId="0" applyFill="1"/>
    <xf numFmtId="0" fontId="0" fillId="11" borderId="0" xfId="0" applyFill="1"/>
    <xf numFmtId="0" fontId="0" fillId="16" borderId="0" xfId="0" applyFill="1"/>
    <xf numFmtId="0" fontId="2" fillId="8" borderId="0" xfId="0" applyFont="1" applyFill="1" applyAlignment="1">
      <alignment horizontal="left" vertical="top" wrapText="1"/>
    </xf>
    <xf numFmtId="0" fontId="2" fillId="11" borderId="0" xfId="0" applyFont="1" applyFill="1" applyAlignment="1">
      <alignment horizontal="left" vertical="top" wrapText="1"/>
    </xf>
    <xf numFmtId="0" fontId="3" fillId="3" borderId="0" xfId="0" applyFont="1" applyFill="1" applyAlignment="1">
      <alignment horizontal="left" vertical="top"/>
    </xf>
    <xf numFmtId="0" fontId="3" fillId="11" borderId="0" xfId="0" applyFont="1" applyFill="1" applyAlignment="1">
      <alignment horizontal="left" vertical="top"/>
    </xf>
    <xf numFmtId="0" fontId="2" fillId="2" borderId="0" xfId="0" applyFont="1" applyFill="1" applyAlignment="1">
      <alignment horizontal="left" vertical="top" wrapText="1"/>
    </xf>
    <xf numFmtId="0" fontId="0" fillId="12" borderId="0" xfId="0" applyFill="1"/>
    <xf numFmtId="0" fontId="3" fillId="17" borderId="0" xfId="0" applyFont="1" applyFill="1" applyAlignment="1">
      <alignment horizontal="left" vertical="top"/>
    </xf>
    <xf numFmtId="0" fontId="2" fillId="13" borderId="0" xfId="0" applyFont="1" applyFill="1" applyAlignment="1">
      <alignment horizontal="left" vertical="top" wrapText="1"/>
    </xf>
    <xf numFmtId="0" fontId="0" fillId="5" borderId="0" xfId="0" applyFill="1"/>
    <xf numFmtId="0" fontId="2" fillId="5" borderId="0" xfId="0" applyFont="1" applyFill="1" applyAlignment="1">
      <alignment horizontal="left" vertical="top"/>
    </xf>
    <xf numFmtId="0" fontId="2" fillId="7" borderId="0" xfId="0" applyFont="1" applyFill="1" applyAlignment="1">
      <alignment horizontal="left" vertical="top"/>
    </xf>
    <xf numFmtId="0" fontId="2" fillId="10" borderId="0" xfId="0" applyFont="1" applyFill="1" applyAlignment="1">
      <alignment horizontal="left" vertical="top" wrapText="1"/>
    </xf>
    <xf numFmtId="0" fontId="2" fillId="10" borderId="0" xfId="0" applyFont="1" applyFill="1" applyAlignment="1">
      <alignment horizontal="left" vertical="top"/>
    </xf>
    <xf numFmtId="0" fontId="2" fillId="5" borderId="0" xfId="0" applyFont="1" applyFill="1" applyAlignment="1">
      <alignment horizontal="left" vertical="top" wrapText="1"/>
    </xf>
    <xf numFmtId="0" fontId="2" fillId="14" borderId="0" xfId="0" applyFont="1" applyFill="1" applyAlignment="1">
      <alignment horizontal="left" vertical="top" wrapText="1"/>
    </xf>
    <xf numFmtId="0" fontId="2" fillId="4" borderId="0" xfId="0" applyFont="1" applyFill="1" applyAlignment="1">
      <alignment horizontal="left" vertical="top" wrapText="1"/>
    </xf>
    <xf numFmtId="0" fontId="2" fillId="7" borderId="0" xfId="0" applyFont="1" applyFill="1" applyAlignment="1">
      <alignment horizontal="left" vertical="top" wrapText="1"/>
    </xf>
    <xf numFmtId="0" fontId="2" fillId="3" borderId="0" xfId="0" applyFont="1" applyFill="1" applyAlignment="1">
      <alignment horizontal="left" vertical="top" wrapText="1"/>
    </xf>
    <xf numFmtId="0" fontId="3" fillId="14" borderId="0" xfId="0" applyFont="1" applyFill="1" applyAlignment="1">
      <alignment horizontal="left" vertical="top"/>
    </xf>
    <xf numFmtId="0" fontId="3" fillId="8" borderId="0" xfId="0" applyFont="1" applyFill="1" applyAlignment="1">
      <alignment horizontal="left" vertical="top"/>
    </xf>
    <xf numFmtId="0" fontId="2" fillId="18" borderId="0" xfId="0" applyFont="1" applyFill="1" applyAlignment="1">
      <alignment horizontal="left" vertical="top"/>
    </xf>
    <xf numFmtId="0" fontId="2" fillId="18" borderId="0" xfId="0" applyFont="1" applyFill="1" applyAlignment="1">
      <alignment horizontal="left" vertical="top" wrapText="1"/>
    </xf>
    <xf numFmtId="0" fontId="2" fillId="16" borderId="0" xfId="0" applyFont="1" applyFill="1" applyAlignment="1">
      <alignment horizontal="left" vertical="top" wrapText="1"/>
    </xf>
    <xf numFmtId="0" fontId="3" fillId="16" borderId="0" xfId="0" applyFont="1" applyFill="1" applyAlignment="1">
      <alignment horizontal="left" vertical="top"/>
    </xf>
    <xf numFmtId="0" fontId="2" fillId="10" borderId="0" xfId="0" applyFont="1" applyFill="1" applyAlignment="1">
      <alignment vertical="top" wrapText="1"/>
    </xf>
    <xf numFmtId="0" fontId="2" fillId="15" borderId="0" xfId="0" applyFont="1" applyFill="1" applyAlignment="1">
      <alignment horizontal="left" vertical="top" wrapText="1"/>
    </xf>
    <xf numFmtId="0" fontId="3" fillId="15" borderId="0" xfId="0" applyFont="1" applyFill="1" applyAlignment="1">
      <alignment horizontal="left" vertical="top"/>
    </xf>
    <xf numFmtId="0" fontId="2" fillId="19" borderId="0" xfId="0" applyFont="1" applyFill="1" applyAlignment="1">
      <alignment horizontal="left" vertical="top" wrapText="1"/>
    </xf>
    <xf numFmtId="0" fontId="2" fillId="20" borderId="0" xfId="0" applyFont="1" applyFill="1" applyAlignment="1">
      <alignment horizontal="left" vertical="top" wrapText="1"/>
    </xf>
    <xf numFmtId="0" fontId="3" fillId="20" borderId="0" xfId="0" applyFont="1" applyFill="1" applyAlignment="1">
      <alignment horizontal="left" vertical="top"/>
    </xf>
    <xf numFmtId="0" fontId="2" fillId="21" borderId="0" xfId="0" applyFont="1" applyFill="1" applyAlignment="1">
      <alignment horizontal="left" vertical="top" wrapText="1"/>
    </xf>
    <xf numFmtId="0" fontId="2" fillId="19" borderId="0" xfId="0" applyFont="1" applyFill="1" applyAlignment="1">
      <alignment vertical="top"/>
    </xf>
    <xf numFmtId="0" fontId="3" fillId="19" borderId="0" xfId="0" applyFont="1" applyFill="1" applyAlignment="1">
      <alignment horizontal="left" vertical="top"/>
    </xf>
    <xf numFmtId="0" fontId="0" fillId="19" borderId="0" xfId="0" applyFill="1"/>
    <xf numFmtId="0" fontId="2" fillId="12" borderId="0" xfId="0" applyFont="1" applyFill="1" applyAlignment="1">
      <alignment horizontal="left" vertical="top" wrapText="1"/>
    </xf>
    <xf numFmtId="0" fontId="3" fillId="5" borderId="0" xfId="0" applyFont="1" applyFill="1" applyAlignment="1">
      <alignment horizontal="left" vertical="top"/>
    </xf>
    <xf numFmtId="0" fontId="2" fillId="17" borderId="0" xfId="0" applyFont="1" applyFill="1" applyAlignment="1">
      <alignment horizontal="left" vertical="top" wrapText="1"/>
    </xf>
    <xf numFmtId="0" fontId="2" fillId="0" borderId="0" xfId="0" applyFont="1" applyAlignment="1">
      <alignment horizontal="left" vertical="top"/>
    </xf>
    <xf numFmtId="0" fontId="2" fillId="15" borderId="0" xfId="0" applyFont="1" applyFill="1" applyAlignment="1">
      <alignment horizontal="left" vertical="top"/>
    </xf>
    <xf numFmtId="0" fontId="3" fillId="15" borderId="0" xfId="0" applyFont="1" applyFill="1" applyAlignment="1">
      <alignment horizontal="left" vertical="top" wrapText="1"/>
    </xf>
    <xf numFmtId="0" fontId="3" fillId="11" borderId="0" xfId="0" applyFont="1" applyFill="1" applyAlignment="1">
      <alignment horizontal="left" vertical="top" wrapText="1"/>
    </xf>
    <xf numFmtId="0" fontId="3" fillId="12" borderId="0" xfId="0" applyFont="1" applyFill="1" applyAlignment="1">
      <alignment horizontal="left" vertical="top" wrapText="1"/>
    </xf>
    <xf numFmtId="0" fontId="2" fillId="11" borderId="0" xfId="0" applyFont="1" applyFill="1" applyAlignment="1">
      <alignment horizontal="left" vertical="top"/>
    </xf>
    <xf numFmtId="0" fontId="3" fillId="19" borderId="0" xfId="0" applyFont="1" applyFill="1" applyAlignment="1">
      <alignment horizontal="left" vertical="top" wrapText="1"/>
    </xf>
    <xf numFmtId="0" fontId="2" fillId="19" borderId="0" xfId="0" applyFont="1" applyFill="1" applyAlignment="1">
      <alignment horizontal="left" vertical="top"/>
    </xf>
    <xf numFmtId="0" fontId="3" fillId="5" borderId="0" xfId="0" applyFont="1" applyFill="1" applyAlignment="1">
      <alignment horizontal="left" vertical="top" wrapText="1"/>
    </xf>
    <xf numFmtId="0" fontId="2" fillId="16" borderId="0" xfId="0" applyFont="1" applyFill="1" applyAlignment="1">
      <alignment horizontal="left" vertical="top"/>
    </xf>
    <xf numFmtId="0" fontId="3" fillId="16" borderId="0" xfId="0" applyFont="1" applyFill="1" applyAlignment="1">
      <alignment horizontal="left" vertical="top" wrapText="1"/>
    </xf>
    <xf numFmtId="0" fontId="3" fillId="16" borderId="0" xfId="0" applyFont="1" applyFill="1" applyAlignment="1">
      <alignment vertical="top"/>
    </xf>
    <xf numFmtId="0" fontId="3" fillId="17" borderId="0" xfId="0" applyFont="1" applyFill="1" applyAlignment="1">
      <alignment horizontal="left" vertical="top" wrapText="1"/>
    </xf>
    <xf numFmtId="0" fontId="3" fillId="14" borderId="0" xfId="0" applyFont="1" applyFill="1" applyAlignment="1">
      <alignment horizontal="left" vertical="top" wrapText="1"/>
    </xf>
    <xf numFmtId="0" fontId="6" fillId="6" borderId="0" xfId="0" applyFont="1" applyFill="1" applyAlignment="1">
      <alignment horizontal="left" vertical="top"/>
    </xf>
    <xf numFmtId="0" fontId="6" fillId="9" borderId="0" xfId="0" applyFont="1" applyFill="1" applyAlignment="1">
      <alignment horizontal="left" vertical="top"/>
    </xf>
    <xf numFmtId="0" fontId="6" fillId="3" borderId="0" xfId="0" applyFont="1" applyFill="1" applyAlignment="1">
      <alignment horizontal="left" vertical="top"/>
    </xf>
    <xf numFmtId="0" fontId="6" fillId="11" borderId="0" xfId="0" applyFont="1" applyFill="1" applyAlignment="1">
      <alignment horizontal="left" vertical="top"/>
    </xf>
    <xf numFmtId="0" fontId="6" fillId="2" borderId="0" xfId="0" applyFont="1" applyFill="1" applyAlignment="1">
      <alignment horizontal="left" vertical="top"/>
    </xf>
    <xf numFmtId="0" fontId="6" fillId="13" borderId="0" xfId="0" applyFont="1" applyFill="1" applyAlignment="1">
      <alignment horizontal="left" vertical="top"/>
    </xf>
    <xf numFmtId="0" fontId="6" fillId="20" borderId="0" xfId="0" applyFont="1" applyFill="1" applyAlignment="1">
      <alignment horizontal="left" vertical="top"/>
    </xf>
    <xf numFmtId="0" fontId="3" fillId="20" borderId="0" xfId="0" applyFont="1" applyFill="1" applyAlignment="1">
      <alignment horizontal="left" vertical="top" wrapText="1"/>
    </xf>
    <xf numFmtId="0" fontId="6" fillId="21" borderId="0" xfId="0" applyFont="1" applyFill="1" applyAlignment="1">
      <alignment horizontal="left" vertical="top"/>
    </xf>
    <xf numFmtId="0" fontId="3" fillId="21" borderId="0" xfId="0" applyFont="1" applyFill="1" applyAlignment="1">
      <alignment horizontal="left" vertical="top" wrapText="1"/>
    </xf>
    <xf numFmtId="0" fontId="6" fillId="4" borderId="0" xfId="0" applyFont="1" applyFill="1" applyAlignment="1">
      <alignment horizontal="left" vertical="top"/>
    </xf>
    <xf numFmtId="0" fontId="7" fillId="4" borderId="0" xfId="0" applyFont="1" applyFill="1" applyAlignment="1">
      <alignment horizontal="left" vertical="top"/>
    </xf>
    <xf numFmtId="0" fontId="3" fillId="13" borderId="0" xfId="0" applyFont="1" applyFill="1" applyAlignment="1">
      <alignment horizontal="left" vertical="top"/>
    </xf>
    <xf numFmtId="0" fontId="11" fillId="4" borderId="0" xfId="0" applyFont="1" applyFill="1" applyAlignment="1">
      <alignment horizontal="left" vertical="top"/>
    </xf>
    <xf numFmtId="0" fontId="3" fillId="16" borderId="0" xfId="0" applyFont="1" applyFill="1" applyAlignment="1">
      <alignment vertical="top" wrapText="1"/>
    </xf>
    <xf numFmtId="0" fontId="3" fillId="3" borderId="0" xfId="0" applyFont="1" applyFill="1" applyAlignment="1">
      <alignment horizontal="left" vertical="top" wrapText="1"/>
    </xf>
    <xf numFmtId="0" fontId="3" fillId="2" borderId="0" xfId="0" applyFont="1" applyFill="1" applyAlignment="1">
      <alignment horizontal="left" vertical="top"/>
    </xf>
    <xf numFmtId="0" fontId="11" fillId="6" borderId="0" xfId="0" applyFont="1" applyFill="1" applyAlignment="1">
      <alignment horizontal="left" vertical="top"/>
    </xf>
    <xf numFmtId="0" fontId="7" fillId="6" borderId="0" xfId="0" applyFont="1" applyFill="1" applyAlignment="1">
      <alignment horizontal="left" vertical="top"/>
    </xf>
    <xf numFmtId="0" fontId="3" fillId="4" borderId="0" xfId="0" applyFont="1" applyFill="1" applyAlignment="1">
      <alignment horizontal="left" vertical="top"/>
    </xf>
    <xf numFmtId="0" fontId="3" fillId="21" borderId="0" xfId="0" applyFont="1" applyFill="1" applyAlignment="1">
      <alignment horizontal="left" vertical="top"/>
    </xf>
    <xf numFmtId="0" fontId="0" fillId="16" borderId="0" xfId="0" applyFill="1" applyAlignment="1">
      <alignment vertical="top"/>
    </xf>
    <xf numFmtId="0" fontId="12" fillId="13" borderId="0" xfId="0" applyFont="1" applyFill="1" applyAlignment="1">
      <alignment horizontal="left" vertical="top"/>
    </xf>
    <xf numFmtId="0" fontId="11" fillId="8" borderId="0" xfId="0" applyFont="1" applyFill="1" applyAlignment="1">
      <alignment horizontal="left" vertical="top"/>
    </xf>
    <xf numFmtId="0" fontId="7" fillId="9" borderId="0" xfId="0" applyFont="1" applyFill="1" applyAlignment="1">
      <alignment horizontal="left" vertical="top"/>
    </xf>
    <xf numFmtId="0" fontId="3" fillId="0" borderId="0" xfId="0" applyFont="1" applyAlignment="1">
      <alignment horizontal="left" wrapText="1"/>
    </xf>
    <xf numFmtId="0" fontId="11" fillId="20" borderId="0" xfId="0" applyFont="1" applyFill="1" applyAlignment="1">
      <alignment horizontal="left" vertical="top"/>
    </xf>
    <xf numFmtId="0" fontId="11" fillId="20" borderId="0" xfId="0" applyFont="1" applyFill="1" applyAlignment="1">
      <alignment horizontal="left" vertical="top" wrapText="1"/>
    </xf>
    <xf numFmtId="0" fontId="7" fillId="20" borderId="0" xfId="0" applyFont="1" applyFill="1" applyAlignment="1">
      <alignment horizontal="left" vertical="top"/>
    </xf>
    <xf numFmtId="0" fontId="6" fillId="21" borderId="0" xfId="0" applyFont="1" applyFill="1" applyAlignment="1">
      <alignment horizontal="left" vertical="top" wrapText="1"/>
    </xf>
    <xf numFmtId="0" fontId="11" fillId="9" borderId="0" xfId="0" applyFont="1" applyFill="1" applyAlignment="1">
      <alignment horizontal="left" vertical="top"/>
    </xf>
    <xf numFmtId="0" fontId="2" fillId="22" borderId="0" xfId="0" applyFont="1" applyFill="1" applyAlignment="1">
      <alignment horizontal="left" vertical="top"/>
    </xf>
    <xf numFmtId="9" fontId="3" fillId="6" borderId="0" xfId="0" applyNumberFormat="1" applyFont="1" applyFill="1" applyAlignment="1">
      <alignment horizontal="left" vertical="top" wrapText="1"/>
    </xf>
    <xf numFmtId="0" fontId="11" fillId="17" borderId="0" xfId="0" applyFont="1" applyFill="1" applyAlignment="1">
      <alignment horizontal="left" vertical="top" wrapText="1"/>
    </xf>
    <xf numFmtId="0" fontId="11" fillId="14" borderId="0" xfId="0" applyFont="1" applyFill="1" applyAlignment="1">
      <alignment horizontal="left" vertical="top" wrapText="1"/>
    </xf>
    <xf numFmtId="3" fontId="3" fillId="6" borderId="0" xfId="0" applyNumberFormat="1" applyFont="1" applyFill="1" applyAlignment="1">
      <alignment horizontal="left" vertical="top" wrapText="1"/>
    </xf>
    <xf numFmtId="0" fontId="11" fillId="9" borderId="0" xfId="0" applyFont="1" applyFill="1" applyAlignment="1">
      <alignment horizontal="left" vertical="top" wrapText="1"/>
    </xf>
    <xf numFmtId="0" fontId="11" fillId="11" borderId="0" xfId="0" applyFont="1" applyFill="1" applyAlignment="1">
      <alignment horizontal="left" vertical="top" wrapText="1"/>
    </xf>
    <xf numFmtId="0" fontId="13" fillId="2" borderId="0" xfId="0" applyFont="1" applyFill="1" applyAlignment="1">
      <alignment horizontal="left" vertical="top" wrapText="1"/>
    </xf>
    <xf numFmtId="0" fontId="13" fillId="3" borderId="0" xfId="0" applyFont="1" applyFill="1" applyAlignment="1">
      <alignment horizontal="left" vertical="top" wrapText="1"/>
    </xf>
    <xf numFmtId="0" fontId="3" fillId="22" borderId="0" xfId="0" applyFont="1" applyFill="1" applyAlignment="1">
      <alignment horizontal="left" vertical="top" wrapText="1"/>
    </xf>
    <xf numFmtId="0" fontId="7" fillId="22" borderId="0" xfId="0" applyFont="1" applyFill="1" applyAlignment="1">
      <alignment horizontal="left" vertical="top"/>
    </xf>
    <xf numFmtId="0" fontId="7" fillId="3" borderId="0" xfId="0" applyFont="1" applyFill="1" applyAlignment="1">
      <alignment horizontal="left" vertical="top"/>
    </xf>
    <xf numFmtId="0" fontId="7" fillId="11" borderId="0" xfId="0" applyFont="1" applyFill="1" applyAlignment="1">
      <alignment horizontal="left" vertical="top"/>
    </xf>
    <xf numFmtId="0" fontId="11" fillId="21" borderId="0" xfId="0" applyFont="1" applyFill="1" applyAlignment="1">
      <alignment horizontal="left" vertical="top"/>
    </xf>
    <xf numFmtId="0" fontId="11" fillId="11" borderId="0" xfId="0" applyFont="1" applyFill="1" applyAlignment="1">
      <alignment horizontal="left" vertical="top"/>
    </xf>
    <xf numFmtId="0" fontId="2" fillId="18" borderId="0" xfId="0" applyFont="1" applyFill="1" applyAlignment="1">
      <alignment horizontal="left" vertical="top"/>
    </xf>
    <xf numFmtId="0" fontId="2" fillId="5" borderId="0" xfId="0" applyFont="1" applyFill="1" applyAlignment="1">
      <alignment horizontal="left" vertical="top" wrapText="1"/>
    </xf>
    <xf numFmtId="0" fontId="2" fillId="7" borderId="0" xfId="0" applyFont="1" applyFill="1" applyAlignment="1">
      <alignment horizontal="left" vertical="top"/>
    </xf>
    <xf numFmtId="0" fontId="2" fillId="19" borderId="0" xfId="0" applyFont="1" applyFill="1" applyAlignment="1">
      <alignment horizontal="left" vertical="top" wrapText="1"/>
    </xf>
    <xf numFmtId="0" fontId="2" fillId="16" borderId="0" xfId="0" applyFont="1" applyFill="1" applyAlignment="1">
      <alignment horizontal="left" vertical="top" wrapText="1"/>
    </xf>
    <xf numFmtId="0" fontId="2" fillId="12" borderId="0" xfId="0" applyFont="1" applyFill="1" applyAlignment="1">
      <alignment horizontal="left" vertical="top" wrapText="1"/>
    </xf>
    <xf numFmtId="0" fontId="2" fillId="10" borderId="0" xfId="0" applyFont="1" applyFill="1" applyAlignment="1">
      <alignment horizontal="left" vertical="top" wrapText="1"/>
    </xf>
    <xf numFmtId="0" fontId="2" fillId="8" borderId="0" xfId="0" applyFont="1" applyFill="1" applyAlignment="1">
      <alignment horizontal="left" vertical="top"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ED9E8"/>
      <color rgb="FFCCFFFF"/>
      <color rgb="FFA8EBF0"/>
      <color rgb="FFCCECFF"/>
      <color rgb="FFCCCCFF"/>
      <color rgb="FF99CCFF"/>
      <color rgb="FF66CCFF"/>
      <color rgb="FF33CCFF"/>
      <color rgb="FF228E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marlon.ads.warwick.ac.uk\User55\u\u1374802\Documents\CRUK\Data%20extraction\Consensus_Updated%20RoB_Agreed\DE%20form_Trivandrum%20Breast_JG%20KF_Final%20consensus_Updated%20RoB_Agreed.xlsx" TargetMode="External"/><Relationship Id="rId1" Type="http://schemas.openxmlformats.org/officeDocument/2006/relationships/externalLinkPath" Target="file:///\\marlon.ads.warwick.ac.uk\User55\u\u1374802\Documents\CRUK\Data%20extraction\Consensus_Updated%20RoB_Agreed\DE%20form_Trivandrum%20Breast_JG%20KF_Final%20consensus_Updated%20RoB_Agre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pping"/>
      <sheetName val="Paper-level info"/>
      <sheetName val="General trial design"/>
      <sheetName val="Mortality_Results"/>
      <sheetName val="Surrogate_Results"/>
      <sheetName val="RoB2"/>
      <sheetName val="RoB2 guidance"/>
      <sheetName val="Dropdown lists"/>
    </sheetNames>
    <sheetDataSet>
      <sheetData sheetId="0"/>
      <sheetData sheetId="1"/>
      <sheetData sheetId="2"/>
      <sheetData sheetId="3">
        <row r="56">
          <cell r="K56"/>
        </row>
      </sheetData>
      <sheetData sheetId="4">
        <row r="83">
          <cell r="N83"/>
        </row>
      </sheetData>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Matejka Rebolj" id="{DB4A2DB4-F014-4F75-8E4F-26F462A5F562}" userId="S::k1773203@kcl.ac.uk::5d1b439c-ed51-4151-835d-22ddc3958d8d" providerId="AD"/>
  <person displayName="Geppert, Julia" id="{CDC4705F-DF20-4803-88C1-8120C0A601A2}" userId="S::u1374802@live.warwick.ac.uk::c5cfb17b-bde1-4e63-8b78-5a5da16592e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1" dT="2023-09-01T18:22:53.40" personId="{DB4A2DB4-F014-4F75-8E4F-26F462A5F562}" id="{600F5BE8-7870-4912-A7AC-A6FDB5D93B84}" done="1">
    <text>We probably could use this definition as late-stage but would need clinical input to confirm?</text>
  </threadedComment>
  <threadedComment ref="N21" dT="2023-09-01T18:28:05.07" personId="{DB4A2DB4-F014-4F75-8E4F-26F462A5F562}" id="{96544089-047D-4578-B86B-005F61678D27}" done="1">
    <text>In principle, this is correct but I have the same reservations about such reasoning as I did for the SOME trial - "high-risk" is a bit of a harsh judgment</text>
  </threadedComment>
  <threadedComment ref="N21" dT="2023-09-04T12:17:01.97" personId="{CDC4705F-DF20-4803-88C1-8120C0A601A2}" id="{AB9F1B53-F65E-4B26-9988-7136ABB24D5F}" parentId="{96544089-047D-4578-B86B-005F61678D27}">
    <text>Agree.</text>
  </threadedComment>
  <threadedComment ref="AQ22" dT="2023-08-30T10:36:29.15" personId="{CDC4705F-DF20-4803-88C1-8120C0A601A2}" id="{02979BF0-3568-4CC0-9AEC-0B2EAB932F14}" done="1">
    <text>Do we need to consider that these "occult" cancers include various cancer types, so the relationship between surrogate and mortality might be not as straightforward and could also be different between the groups?</text>
  </threadedComment>
  <threadedComment ref="AQ22" dT="2023-09-04T09:58:05.37" personId="{CDC4705F-DF20-4803-88C1-8120C0A601A2}" id="{1B62B610-EC83-4E4C-A558-5EDEE99236FF}" parentId="{02979BF0-3568-4CC0-9AEC-0B2EAB932F14}">
    <text xml:space="preserve">Reply MR: Good point. This is precisely what we are trying to determine with our project. Which category in the RoB would this apply to? It would be something that would leave us with an unclear risk, I reckon? </text>
  </threadedComment>
  <threadedComment ref="G25" dT="2023-09-28T19:18:39.18" personId="{DB4A2DB4-F014-4F75-8E4F-26F462A5F562}" id="{3053864B-5AD2-434E-989D-9EA87E59E301}">
    <text>Median FU time to death =11.4 years?</text>
  </threadedComment>
  <threadedComment ref="G25" dT="2023-09-29T08:12:17.25" personId="{CDC4705F-DF20-4803-88C1-8120C0A601A2}" id="{B74818C0-CB65-4D88-8606-4EB59FBCFE72}" parentId="{3053864B-5AD2-434E-989D-9EA87E59E301}">
    <text>Corrected.</text>
  </threadedComment>
  <threadedComment ref="Y25" dT="2023-09-28T19:23:46.69" personId="{DB4A2DB4-F014-4F75-8E4F-26F462A5F562}" id="{8133E744-546D-4B40-AA7A-2693C4019E37}" done="1">
    <text>Absolute diff 0.3%?</text>
  </threadedComment>
  <threadedComment ref="Y25" dT="2023-09-29T08:17:05.27" personId="{CDC4705F-DF20-4803-88C1-8120C0A601A2}" id="{3E6DEE76-EEE3-4B64-A362-99E456B4E557}" parentId="{8133E744-546D-4B40-AA7A-2693C4019E37}">
    <text>Sorry, should have said &lt;5%.</text>
  </threadedComment>
  <threadedComment ref="D27" dT="2023-09-27T10:34:58.30" personId="{DB4A2DB4-F014-4F75-8E4F-26F462A5F562}" id="{71E406C0-73CE-40D0-A6E0-1D182EDC961D}" done="1">
    <text>1997 or 1998?</text>
  </threadedComment>
  <threadedComment ref="D27" dT="2023-09-27T16:00:02.37" personId="{CDC4705F-DF20-4803-88C1-8120C0A601A2}" id="{8BAB062E-7884-4101-9ED3-463B2A7C561B}" parentId="{71E406C0-73CE-40D0-A6E0-1D182EDC961D}">
    <text>1997.</text>
  </threadedComment>
  <threadedComment ref="G27" dT="2023-09-27T10:47:59.37" personId="{DB4A2DB4-F014-4F75-8E4F-26F462A5F562}" id="{09CFAAAA-C47A-4BF6-8258-A2EBE1A8E140}" done="1">
    <text>1997 or 1998?</text>
  </threadedComment>
  <threadedComment ref="G27" dT="2023-09-27T16:00:18.67" personId="{CDC4705F-DF20-4803-88C1-8120C0A601A2}" id="{DD109495-D758-446C-BF0C-90DDFB1BAD09}" parentId="{09CFAAAA-C47A-4BF6-8258-A2EBE1A8E140}">
    <text>1997.</text>
  </threadedComment>
  <threadedComment ref="Y30" dT="2023-09-28T19:23:46.69" personId="{DB4A2DB4-F014-4F75-8E4F-26F462A5F562}" id="{7B8B8134-D665-4AA7-B439-66050D110359}" done="1">
    <text>Absolute diff 0.3%?</text>
  </threadedComment>
  <threadedComment ref="Y30" dT="2023-09-29T08:17:05.27" personId="{CDC4705F-DF20-4803-88C1-8120C0A601A2}" id="{4B3C01E7-BE27-4B5D-8F8D-C8B87B52118D}" parentId="{7B8B8134-D665-4AA7-B439-66050D110359}">
    <text>Sorry, should have said &lt;5%.</text>
  </threadedComment>
  <threadedComment ref="AP31" dT="2024-01-24T17:29:01.00" personId="{CDC4705F-DF20-4803-88C1-8120C0A601A2}" id="{5026CA37-6AFF-4278-8BE1-1DC868190C3A}">
    <text>Or "NA" as we don't have a late-stage surrogate???</text>
  </threadedComment>
  <threadedComment ref="D36" dT="2023-08-24T09:33:30.46" personId="{CDC4705F-DF20-4803-88C1-8120C0A601A2}" id="{98DA6E18-1DB0-4C12-AF00-DFCA367A72F4}" done="1">
    <text>I don't think the surrogate outcome (you chose 10 years of follow-up) should be assessed AFTER the mortality outcome (you chose 7 years of follow-up). Think, we should use the 7-year follow-up data for both outcomes as this avoids that the follow-up time is after 1988 when a population screening programme had been introduced in Scotland.</text>
  </threadedComment>
  <threadedComment ref="AC37" dT="2024-01-17T10:58:34.48" personId="{CDC4705F-DF20-4803-88C1-8120C0A601A2}" id="{2D955117-4286-4D13-AA63-C81182F6F604}" done="1">
    <text>Would also be okay to rate as 'No'.</text>
  </threadedComment>
  <threadedComment ref="N39" dT="2023-10-13T08:42:50.37" personId="{CDC4705F-DF20-4803-88C1-8120C0A601A2}" id="{9DE01691-504E-4E65-9BC8-81119A7156CD}">
    <text>Not sure as another publication stated "A similar dissimilarity in treatment modalities was observed previously in a combined analysis from the eight centers of the ERSPC trial: radical prostatectomy and active surveillance were more often chosen in the SA and endocrine therapy in the CA."</text>
  </threadedComment>
  <threadedComment ref="N39" dT="2024-01-17T08:50:49.83" personId="{CDC4705F-DF20-4803-88C1-8120C0A601A2}" id="{0E2CACD2-7F3C-4634-8305-7442AED03F24}" parentId="{9DE01691-504E-4E65-9BC8-81119A7156CD}">
    <text>Agreed on "Unclear".</text>
  </threadedComment>
  <threadedComment ref="G52" dT="2024-01-22T16:49:32.84" personId="{CDC4705F-DF20-4803-88C1-8120C0A601A2}" id="{45D418C4-E975-4560-8FDE-0AB1AB2255A0}" done="1">
    <text>Changed so that we have the same subgroup for surrogate and mortality outcomes.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A241-892B-46A5-9C20-6EBBBC650A19}">
  <sheetPr filterMode="1"/>
  <dimension ref="A1:AR60"/>
  <sheetViews>
    <sheetView tabSelected="1" zoomScale="112" zoomScaleNormal="112" workbookViewId="0">
      <pane xSplit="3" ySplit="2" topLeftCell="AN53" activePane="bottomRight" state="frozen"/>
      <selection pane="topRight" activeCell="F1" sqref="F1"/>
      <selection pane="bottomLeft" activeCell="A3" sqref="A3"/>
      <selection pane="bottomRight" activeCell="A60" sqref="A60"/>
    </sheetView>
  </sheetViews>
  <sheetFormatPr defaultRowHeight="15" x14ac:dyDescent="0.25"/>
  <cols>
    <col min="1" max="1" width="14.5703125" style="101" customWidth="1"/>
    <col min="2" max="2" width="13.140625" style="6" customWidth="1"/>
    <col min="3" max="3" width="13" style="6" customWidth="1"/>
    <col min="4" max="4" width="28.42578125" style="6" customWidth="1"/>
    <col min="5" max="5" width="19.7109375" style="6" customWidth="1"/>
    <col min="6" max="6" width="27.140625" style="6" customWidth="1"/>
    <col min="7" max="8" width="21.140625" style="6" customWidth="1"/>
    <col min="9" max="9" width="46" style="6" customWidth="1"/>
    <col min="10" max="10" width="28.140625" style="6" customWidth="1"/>
    <col min="11" max="11" width="32.140625" style="6" customWidth="1"/>
    <col min="12" max="12" width="15.140625" style="6" customWidth="1"/>
    <col min="13" max="13" width="31" style="6" customWidth="1"/>
    <col min="14" max="14" width="26.140625" style="6" customWidth="1"/>
    <col min="15" max="15" width="16.42578125" style="6" customWidth="1"/>
    <col min="16" max="16" width="23" style="6" customWidth="1"/>
    <col min="17" max="17" width="21.5703125" style="6" customWidth="1"/>
    <col min="18" max="18" width="25.5703125" style="6" customWidth="1"/>
    <col min="19" max="19" width="18.42578125" style="6" customWidth="1"/>
    <col min="20" max="20" width="21.85546875" style="6" customWidth="1"/>
    <col min="21" max="21" width="20.5703125" style="6" customWidth="1"/>
    <col min="22" max="22" width="25.28515625" style="6" customWidth="1"/>
    <col min="23" max="23" width="29.5703125" style="6" customWidth="1"/>
    <col min="24" max="24" width="32.42578125" style="6" customWidth="1"/>
    <col min="25" max="25" width="37.140625" style="6" customWidth="1"/>
    <col min="26" max="26" width="18.85546875" style="6" customWidth="1"/>
    <col min="27" max="27" width="23.85546875" style="6" customWidth="1"/>
    <col min="28" max="28" width="24.85546875" style="6" customWidth="1"/>
    <col min="29" max="29" width="29.85546875" style="6" customWidth="1"/>
    <col min="30" max="30" width="22.28515625" style="6" customWidth="1"/>
    <col min="31" max="31" width="26.42578125" style="6" customWidth="1"/>
    <col min="32" max="32" width="36.42578125" style="6" customWidth="1"/>
    <col min="33" max="33" width="27.85546875" style="6" customWidth="1"/>
    <col min="34" max="34" width="21.85546875" style="6" customWidth="1"/>
    <col min="35" max="35" width="16.140625" style="6" customWidth="1"/>
    <col min="36" max="36" width="33.7109375" style="6" customWidth="1"/>
    <col min="37" max="37" width="30.7109375" style="6" customWidth="1"/>
    <col min="38" max="38" width="37" style="6" customWidth="1"/>
    <col min="39" max="39" width="45.42578125" style="6" customWidth="1"/>
    <col min="40" max="40" width="40.5703125" style="6" customWidth="1"/>
    <col min="41" max="41" width="30.7109375" style="6" customWidth="1"/>
    <col min="42" max="42" width="17.140625" style="6" customWidth="1"/>
    <col min="43" max="43" width="14.85546875" style="6" customWidth="1"/>
    <col min="44" max="44" width="30.140625" customWidth="1"/>
  </cols>
  <sheetData>
    <row r="1" spans="1:44" s="4" customFormat="1" ht="30.95" customHeight="1" x14ac:dyDescent="0.25">
      <c r="A1" s="129" t="s">
        <v>208</v>
      </c>
      <c r="B1" s="129"/>
      <c r="C1" s="129"/>
      <c r="D1" s="126" t="s">
        <v>201</v>
      </c>
      <c r="E1" s="126"/>
      <c r="F1" s="126"/>
      <c r="G1" s="126"/>
      <c r="H1" s="126"/>
      <c r="I1" s="47"/>
      <c r="J1" s="123" t="s">
        <v>239</v>
      </c>
      <c r="K1" s="123"/>
      <c r="L1" s="123"/>
      <c r="M1" s="124" t="s">
        <v>198</v>
      </c>
      <c r="N1" s="124"/>
      <c r="O1" s="124"/>
      <c r="P1" s="128" t="s">
        <v>267</v>
      </c>
      <c r="Q1" s="128"/>
      <c r="R1" s="128"/>
      <c r="S1" s="128"/>
      <c r="T1" s="127" t="s">
        <v>266</v>
      </c>
      <c r="U1" s="127"/>
      <c r="V1" s="127"/>
      <c r="W1" s="127"/>
      <c r="X1" s="128" t="s">
        <v>268</v>
      </c>
      <c r="Y1" s="128"/>
      <c r="Z1" s="49"/>
      <c r="AA1" s="125" t="s">
        <v>211</v>
      </c>
      <c r="AB1" s="125"/>
      <c r="AC1" s="125"/>
      <c r="AD1" s="125"/>
      <c r="AE1" s="125" t="s">
        <v>203</v>
      </c>
      <c r="AF1" s="125"/>
      <c r="AG1" s="125"/>
      <c r="AH1" s="125"/>
      <c r="AI1" s="56"/>
      <c r="AJ1" s="123" t="s">
        <v>200</v>
      </c>
      <c r="AK1" s="123"/>
      <c r="AL1" s="123"/>
      <c r="AM1" s="123"/>
      <c r="AN1" s="123"/>
      <c r="AO1" s="123"/>
      <c r="AP1" s="123"/>
      <c r="AQ1" s="122" t="s">
        <v>249</v>
      </c>
      <c r="AR1" s="122"/>
    </row>
    <row r="2" spans="1:44" s="8" customFormat="1" ht="59.45" customHeight="1" x14ac:dyDescent="0.25">
      <c r="A2" s="25" t="s">
        <v>206</v>
      </c>
      <c r="B2" s="25" t="s">
        <v>400</v>
      </c>
      <c r="C2" s="25" t="s">
        <v>207</v>
      </c>
      <c r="D2" s="61" t="s">
        <v>204</v>
      </c>
      <c r="E2" s="61" t="s">
        <v>209</v>
      </c>
      <c r="F2" s="61" t="s">
        <v>215</v>
      </c>
      <c r="G2" s="39" t="s">
        <v>205</v>
      </c>
      <c r="H2" s="39" t="s">
        <v>210</v>
      </c>
      <c r="I2" s="39" t="s">
        <v>216</v>
      </c>
      <c r="J2" s="12" t="s">
        <v>225</v>
      </c>
      <c r="K2" s="12" t="s">
        <v>226</v>
      </c>
      <c r="L2" s="38" t="s">
        <v>227</v>
      </c>
      <c r="M2" s="9" t="s">
        <v>232</v>
      </c>
      <c r="N2" s="9" t="s">
        <v>5</v>
      </c>
      <c r="O2" s="41" t="s">
        <v>109</v>
      </c>
      <c r="P2" s="42" t="s">
        <v>243</v>
      </c>
      <c r="Q2" s="42" t="s">
        <v>250</v>
      </c>
      <c r="R2" s="26" t="s">
        <v>240</v>
      </c>
      <c r="S2" s="26" t="s">
        <v>251</v>
      </c>
      <c r="T2" s="29" t="s">
        <v>242</v>
      </c>
      <c r="U2" s="29" t="s">
        <v>252</v>
      </c>
      <c r="V2" s="32" t="s">
        <v>241</v>
      </c>
      <c r="W2" s="32" t="s">
        <v>253</v>
      </c>
      <c r="X2" s="26" t="s">
        <v>269</v>
      </c>
      <c r="Y2" s="26" t="s">
        <v>254</v>
      </c>
      <c r="Z2" s="36" t="s">
        <v>237</v>
      </c>
      <c r="AA2" s="53" t="s">
        <v>212</v>
      </c>
      <c r="AB2" s="53" t="s">
        <v>255</v>
      </c>
      <c r="AC2" s="55" t="s">
        <v>256</v>
      </c>
      <c r="AD2" s="55" t="s">
        <v>257</v>
      </c>
      <c r="AE2" s="53" t="s">
        <v>214</v>
      </c>
      <c r="AF2" s="53" t="s">
        <v>258</v>
      </c>
      <c r="AG2" s="55" t="s">
        <v>259</v>
      </c>
      <c r="AH2" s="55" t="s">
        <v>260</v>
      </c>
      <c r="AI2" s="52" t="s">
        <v>110</v>
      </c>
      <c r="AJ2" s="40" t="s">
        <v>829</v>
      </c>
      <c r="AK2" s="40" t="s">
        <v>261</v>
      </c>
      <c r="AL2" s="12" t="s">
        <v>830</v>
      </c>
      <c r="AM2" s="12" t="s">
        <v>262</v>
      </c>
      <c r="AN2" s="40" t="s">
        <v>831</v>
      </c>
      <c r="AO2" s="40" t="s">
        <v>283</v>
      </c>
      <c r="AP2" s="38" t="s">
        <v>197</v>
      </c>
      <c r="AQ2" s="46" t="s">
        <v>202</v>
      </c>
      <c r="AR2" s="46" t="s">
        <v>248</v>
      </c>
    </row>
    <row r="3" spans="1:44" s="4" customFormat="1" ht="78.75" hidden="1" x14ac:dyDescent="0.25">
      <c r="A3" s="44" t="s">
        <v>86</v>
      </c>
      <c r="B3" s="44" t="s">
        <v>36</v>
      </c>
      <c r="C3" s="44" t="s">
        <v>4</v>
      </c>
      <c r="D3" s="75" t="s">
        <v>1144</v>
      </c>
      <c r="E3" s="43" t="s">
        <v>303</v>
      </c>
      <c r="F3" s="75" t="s">
        <v>1145</v>
      </c>
      <c r="G3" s="75" t="s">
        <v>304</v>
      </c>
      <c r="H3" s="43" t="s">
        <v>303</v>
      </c>
      <c r="I3" s="75" t="s">
        <v>305</v>
      </c>
      <c r="J3" s="76" t="s">
        <v>291</v>
      </c>
      <c r="K3" s="13" t="s">
        <v>306</v>
      </c>
      <c r="L3" s="34" t="s">
        <v>195</v>
      </c>
      <c r="M3" s="17" t="s">
        <v>299</v>
      </c>
      <c r="N3" s="18" t="s">
        <v>307</v>
      </c>
      <c r="O3" s="35" t="s">
        <v>230</v>
      </c>
      <c r="P3" s="27" t="s">
        <v>299</v>
      </c>
      <c r="Q3" s="91" t="s">
        <v>911</v>
      </c>
      <c r="R3" s="28" t="s">
        <v>299</v>
      </c>
      <c r="S3" s="113" t="s">
        <v>911</v>
      </c>
      <c r="T3" s="80" t="s">
        <v>291</v>
      </c>
      <c r="U3" s="20" t="s">
        <v>310</v>
      </c>
      <c r="V3" s="88" t="s">
        <v>309</v>
      </c>
      <c r="W3" s="88" t="s">
        <v>311</v>
      </c>
      <c r="X3" s="28" t="s">
        <v>299</v>
      </c>
      <c r="Y3" s="65" t="s">
        <v>912</v>
      </c>
      <c r="Z3" s="37" t="s">
        <v>230</v>
      </c>
      <c r="AA3" s="54" t="s">
        <v>299</v>
      </c>
      <c r="AB3" s="83" t="s">
        <v>913</v>
      </c>
      <c r="AC3" s="84" t="s">
        <v>291</v>
      </c>
      <c r="AD3" s="85" t="s">
        <v>312</v>
      </c>
      <c r="AE3" s="82" t="s">
        <v>297</v>
      </c>
      <c r="AF3" s="83" t="s">
        <v>313</v>
      </c>
      <c r="AG3" s="84" t="s">
        <v>291</v>
      </c>
      <c r="AH3" s="85" t="s">
        <v>312</v>
      </c>
      <c r="AI3" s="69" t="s">
        <v>230</v>
      </c>
      <c r="AJ3" s="86" t="s">
        <v>291</v>
      </c>
      <c r="AK3" s="19" t="s">
        <v>914</v>
      </c>
      <c r="AL3" s="76" t="s">
        <v>291</v>
      </c>
      <c r="AM3" s="13" t="s">
        <v>915</v>
      </c>
      <c r="AN3" s="89" t="s">
        <v>93</v>
      </c>
      <c r="AO3" s="19" t="s">
        <v>893</v>
      </c>
      <c r="AP3" s="34" t="s">
        <v>195</v>
      </c>
      <c r="AQ3" s="45" t="s">
        <v>230</v>
      </c>
      <c r="AR3" s="90" t="s">
        <v>916</v>
      </c>
    </row>
    <row r="4" spans="1:44" s="4" customFormat="1" ht="89.25" hidden="1" x14ac:dyDescent="0.25">
      <c r="A4" s="44" t="s">
        <v>65</v>
      </c>
      <c r="B4" s="44" t="s">
        <v>32</v>
      </c>
      <c r="C4" s="44" t="s">
        <v>4</v>
      </c>
      <c r="D4" s="74" t="s">
        <v>1052</v>
      </c>
      <c r="E4" s="74" t="s">
        <v>1051</v>
      </c>
      <c r="F4" s="74" t="s">
        <v>1110</v>
      </c>
      <c r="G4" s="75" t="s">
        <v>942</v>
      </c>
      <c r="H4" s="43" t="s">
        <v>314</v>
      </c>
      <c r="I4" s="75" t="s">
        <v>943</v>
      </c>
      <c r="J4" s="76" t="s">
        <v>291</v>
      </c>
      <c r="K4" s="13" t="s">
        <v>315</v>
      </c>
      <c r="L4" s="34" t="s">
        <v>195</v>
      </c>
      <c r="M4" s="77" t="s">
        <v>291</v>
      </c>
      <c r="N4" s="18" t="s">
        <v>320</v>
      </c>
      <c r="O4" s="35" t="s">
        <v>195</v>
      </c>
      <c r="P4" s="78" t="s">
        <v>291</v>
      </c>
      <c r="Q4" s="91" t="s">
        <v>293</v>
      </c>
      <c r="R4" s="79" t="s">
        <v>364</v>
      </c>
      <c r="S4" s="65" t="s">
        <v>293</v>
      </c>
      <c r="T4" s="92" t="s">
        <v>944</v>
      </c>
      <c r="U4" s="20" t="s">
        <v>411</v>
      </c>
      <c r="V4" s="88" t="s">
        <v>944</v>
      </c>
      <c r="W4" s="11" t="s">
        <v>411</v>
      </c>
      <c r="X4" s="28" t="s">
        <v>299</v>
      </c>
      <c r="Y4" s="65" t="s">
        <v>945</v>
      </c>
      <c r="Z4" s="37" t="s">
        <v>230</v>
      </c>
      <c r="AA4" s="54" t="s">
        <v>299</v>
      </c>
      <c r="AB4" s="83" t="s">
        <v>317</v>
      </c>
      <c r="AC4" s="84" t="s">
        <v>291</v>
      </c>
      <c r="AD4" s="85" t="s">
        <v>318</v>
      </c>
      <c r="AE4" s="54" t="s">
        <v>299</v>
      </c>
      <c r="AF4" s="83" t="s">
        <v>319</v>
      </c>
      <c r="AG4" s="84" t="s">
        <v>291</v>
      </c>
      <c r="AH4" s="85" t="s">
        <v>318</v>
      </c>
      <c r="AI4" s="69" t="s">
        <v>230</v>
      </c>
      <c r="AJ4" s="86" t="s">
        <v>291</v>
      </c>
      <c r="AK4" s="19" t="s">
        <v>1053</v>
      </c>
      <c r="AL4" s="76" t="s">
        <v>291</v>
      </c>
      <c r="AM4" s="13" t="s">
        <v>946</v>
      </c>
      <c r="AN4" s="89" t="s">
        <v>93</v>
      </c>
      <c r="AO4" s="19" t="s">
        <v>893</v>
      </c>
      <c r="AP4" s="34" t="s">
        <v>195</v>
      </c>
      <c r="AQ4" s="45" t="s">
        <v>230</v>
      </c>
      <c r="AR4" s="90" t="s">
        <v>1054</v>
      </c>
    </row>
    <row r="5" spans="1:44" s="4" customFormat="1" ht="153" hidden="1" x14ac:dyDescent="0.25">
      <c r="A5" s="44" t="s">
        <v>66</v>
      </c>
      <c r="B5" s="44" t="s">
        <v>32</v>
      </c>
      <c r="C5" s="44" t="s">
        <v>4</v>
      </c>
      <c r="D5" s="74" t="s">
        <v>1113</v>
      </c>
      <c r="E5" s="31" t="s">
        <v>321</v>
      </c>
      <c r="F5" s="74" t="s">
        <v>1114</v>
      </c>
      <c r="G5" s="75" t="s">
        <v>322</v>
      </c>
      <c r="H5" s="31" t="s">
        <v>321</v>
      </c>
      <c r="I5" s="75" t="s">
        <v>323</v>
      </c>
      <c r="J5" s="94" t="s">
        <v>297</v>
      </c>
      <c r="K5" s="13" t="s">
        <v>324</v>
      </c>
      <c r="L5" s="34" t="s">
        <v>196</v>
      </c>
      <c r="M5" s="17" t="s">
        <v>299</v>
      </c>
      <c r="N5" s="18" t="s">
        <v>325</v>
      </c>
      <c r="O5" s="35" t="s">
        <v>230</v>
      </c>
      <c r="P5" s="27" t="s">
        <v>309</v>
      </c>
      <c r="Q5" s="91" t="s">
        <v>326</v>
      </c>
      <c r="R5" s="79" t="s">
        <v>291</v>
      </c>
      <c r="S5" s="65" t="s">
        <v>327</v>
      </c>
      <c r="T5" s="92" t="s">
        <v>309</v>
      </c>
      <c r="U5" s="20" t="s">
        <v>328</v>
      </c>
      <c r="V5" s="88" t="s">
        <v>309</v>
      </c>
      <c r="W5" s="11" t="s">
        <v>329</v>
      </c>
      <c r="X5" s="79" t="s">
        <v>291</v>
      </c>
      <c r="Y5" s="65" t="s">
        <v>330</v>
      </c>
      <c r="Z5" s="37" t="s">
        <v>195</v>
      </c>
      <c r="AA5" s="54" t="s">
        <v>299</v>
      </c>
      <c r="AB5" s="83" t="s">
        <v>331</v>
      </c>
      <c r="AC5" s="84" t="s">
        <v>291</v>
      </c>
      <c r="AD5" s="85" t="s">
        <v>332</v>
      </c>
      <c r="AE5" s="54" t="s">
        <v>299</v>
      </c>
      <c r="AF5" s="83" t="s">
        <v>333</v>
      </c>
      <c r="AG5" s="84" t="s">
        <v>291</v>
      </c>
      <c r="AH5" s="85" t="s">
        <v>332</v>
      </c>
      <c r="AI5" s="69" t="s">
        <v>230</v>
      </c>
      <c r="AJ5" s="87" t="s">
        <v>297</v>
      </c>
      <c r="AK5" s="19" t="s">
        <v>921</v>
      </c>
      <c r="AL5" s="93" t="s">
        <v>93</v>
      </c>
      <c r="AM5" s="13" t="s">
        <v>922</v>
      </c>
      <c r="AN5" s="89" t="s">
        <v>93</v>
      </c>
      <c r="AO5" s="19" t="s">
        <v>922</v>
      </c>
      <c r="AP5" s="34" t="s">
        <v>230</v>
      </c>
      <c r="AQ5" s="45" t="s">
        <v>196</v>
      </c>
      <c r="AR5" s="90" t="s">
        <v>334</v>
      </c>
    </row>
    <row r="6" spans="1:44" s="4" customFormat="1" ht="89.25" hidden="1" x14ac:dyDescent="0.25">
      <c r="A6" s="44" t="s">
        <v>72</v>
      </c>
      <c r="B6" s="44" t="s">
        <v>32</v>
      </c>
      <c r="C6" s="44" t="s">
        <v>4</v>
      </c>
      <c r="D6" s="74" t="s">
        <v>1117</v>
      </c>
      <c r="E6" s="74" t="s">
        <v>335</v>
      </c>
      <c r="F6" s="74" t="s">
        <v>1118</v>
      </c>
      <c r="G6" s="75" t="s">
        <v>336</v>
      </c>
      <c r="H6" s="75" t="s">
        <v>335</v>
      </c>
      <c r="I6" s="75" t="s">
        <v>960</v>
      </c>
      <c r="J6" s="94" t="s">
        <v>297</v>
      </c>
      <c r="K6" s="13" t="s">
        <v>337</v>
      </c>
      <c r="L6" s="34" t="s">
        <v>196</v>
      </c>
      <c r="M6" s="17" t="s">
        <v>299</v>
      </c>
      <c r="N6" s="18" t="s">
        <v>338</v>
      </c>
      <c r="O6" s="35" t="s">
        <v>230</v>
      </c>
      <c r="P6" s="27" t="s">
        <v>309</v>
      </c>
      <c r="Q6" s="91" t="s">
        <v>339</v>
      </c>
      <c r="R6" s="28" t="s">
        <v>309</v>
      </c>
      <c r="S6" s="65" t="s">
        <v>340</v>
      </c>
      <c r="T6" s="92" t="s">
        <v>299</v>
      </c>
      <c r="U6" s="92" t="s">
        <v>341</v>
      </c>
      <c r="V6" s="88" t="s">
        <v>299</v>
      </c>
      <c r="W6" s="88" t="s">
        <v>341</v>
      </c>
      <c r="X6" s="28" t="s">
        <v>295</v>
      </c>
      <c r="Y6" s="65" t="s">
        <v>342</v>
      </c>
      <c r="Z6" s="37" t="s">
        <v>230</v>
      </c>
      <c r="AA6" s="54" t="s">
        <v>299</v>
      </c>
      <c r="AB6" s="83" t="s">
        <v>343</v>
      </c>
      <c r="AC6" s="84" t="s">
        <v>291</v>
      </c>
      <c r="AD6" s="85" t="s">
        <v>318</v>
      </c>
      <c r="AE6" s="82" t="s">
        <v>297</v>
      </c>
      <c r="AF6" s="83" t="s">
        <v>344</v>
      </c>
      <c r="AG6" s="84" t="s">
        <v>291</v>
      </c>
      <c r="AH6" s="85" t="s">
        <v>318</v>
      </c>
      <c r="AI6" s="69" t="s">
        <v>230</v>
      </c>
      <c r="AJ6" s="87" t="s">
        <v>297</v>
      </c>
      <c r="AK6" s="19" t="s">
        <v>961</v>
      </c>
      <c r="AL6" s="14" t="s">
        <v>93</v>
      </c>
      <c r="AM6" s="13" t="s">
        <v>922</v>
      </c>
      <c r="AN6" s="89" t="s">
        <v>93</v>
      </c>
      <c r="AO6" s="19" t="s">
        <v>922</v>
      </c>
      <c r="AP6" s="34" t="s">
        <v>230</v>
      </c>
      <c r="AQ6" s="45" t="s">
        <v>196</v>
      </c>
      <c r="AR6" s="90" t="s">
        <v>345</v>
      </c>
    </row>
    <row r="7" spans="1:44" s="4" customFormat="1" ht="89.25" hidden="1" x14ac:dyDescent="0.25">
      <c r="A7" s="44" t="s">
        <v>85</v>
      </c>
      <c r="B7" s="44" t="s">
        <v>36</v>
      </c>
      <c r="C7" s="44" t="s">
        <v>4</v>
      </c>
      <c r="D7" s="74" t="s">
        <v>1150</v>
      </c>
      <c r="E7" s="75" t="s">
        <v>985</v>
      </c>
      <c r="F7" s="74" t="s">
        <v>1151</v>
      </c>
      <c r="G7" s="75" t="s">
        <v>346</v>
      </c>
      <c r="H7" s="43" t="s">
        <v>347</v>
      </c>
      <c r="I7" s="75" t="s">
        <v>348</v>
      </c>
      <c r="J7" s="14" t="s">
        <v>299</v>
      </c>
      <c r="K7" s="14" t="s">
        <v>349</v>
      </c>
      <c r="L7" s="34" t="s">
        <v>230</v>
      </c>
      <c r="M7" s="17" t="s">
        <v>299</v>
      </c>
      <c r="N7" s="18" t="s">
        <v>350</v>
      </c>
      <c r="O7" s="35" t="s">
        <v>230</v>
      </c>
      <c r="P7" s="27" t="s">
        <v>309</v>
      </c>
      <c r="Q7" s="91" t="s">
        <v>351</v>
      </c>
      <c r="R7" s="28" t="s">
        <v>309</v>
      </c>
      <c r="S7" s="65" t="s">
        <v>351</v>
      </c>
      <c r="T7" s="92" t="s">
        <v>309</v>
      </c>
      <c r="U7" s="20" t="s">
        <v>352</v>
      </c>
      <c r="V7" s="88" t="s">
        <v>309</v>
      </c>
      <c r="W7" s="11" t="s">
        <v>353</v>
      </c>
      <c r="X7" s="79" t="s">
        <v>291</v>
      </c>
      <c r="Y7" s="65" t="s">
        <v>354</v>
      </c>
      <c r="Z7" s="37" t="s">
        <v>195</v>
      </c>
      <c r="AA7" s="54" t="s">
        <v>299</v>
      </c>
      <c r="AB7" s="83" t="s">
        <v>355</v>
      </c>
      <c r="AC7" s="84" t="s">
        <v>291</v>
      </c>
      <c r="AD7" s="96" t="s">
        <v>356</v>
      </c>
      <c r="AE7" s="82" t="s">
        <v>297</v>
      </c>
      <c r="AF7" s="83" t="s">
        <v>357</v>
      </c>
      <c r="AG7" s="84" t="s">
        <v>291</v>
      </c>
      <c r="AH7" s="85" t="s">
        <v>358</v>
      </c>
      <c r="AI7" s="69" t="s">
        <v>230</v>
      </c>
      <c r="AJ7" s="86" t="s">
        <v>291</v>
      </c>
      <c r="AK7" s="19" t="s">
        <v>986</v>
      </c>
      <c r="AL7" s="93" t="s">
        <v>299</v>
      </c>
      <c r="AM7" s="13" t="s">
        <v>987</v>
      </c>
      <c r="AN7" s="89" t="s">
        <v>93</v>
      </c>
      <c r="AO7" s="19" t="s">
        <v>893</v>
      </c>
      <c r="AP7" s="34" t="s">
        <v>230</v>
      </c>
      <c r="AQ7" s="45" t="s">
        <v>230</v>
      </c>
      <c r="AR7" s="97" t="s">
        <v>770</v>
      </c>
    </row>
    <row r="8" spans="1:44" s="4" customFormat="1" ht="89.25" hidden="1" x14ac:dyDescent="0.25">
      <c r="A8" s="44" t="s">
        <v>80</v>
      </c>
      <c r="B8" s="44" t="s">
        <v>35</v>
      </c>
      <c r="C8" s="44" t="s">
        <v>4</v>
      </c>
      <c r="D8" s="74" t="s">
        <v>1140</v>
      </c>
      <c r="E8" s="31" t="s">
        <v>288</v>
      </c>
      <c r="F8" s="74" t="s">
        <v>1141</v>
      </c>
      <c r="G8" s="75" t="s">
        <v>289</v>
      </c>
      <c r="H8" s="43" t="s">
        <v>288</v>
      </c>
      <c r="I8" s="75" t="s">
        <v>290</v>
      </c>
      <c r="J8" s="76" t="s">
        <v>291</v>
      </c>
      <c r="K8" s="13" t="s">
        <v>1021</v>
      </c>
      <c r="L8" s="34" t="s">
        <v>195</v>
      </c>
      <c r="M8" s="77" t="s">
        <v>291</v>
      </c>
      <c r="N8" s="18" t="s">
        <v>292</v>
      </c>
      <c r="O8" s="35" t="s">
        <v>195</v>
      </c>
      <c r="P8" s="78" t="s">
        <v>291</v>
      </c>
      <c r="Q8" s="27" t="s">
        <v>293</v>
      </c>
      <c r="R8" s="79" t="s">
        <v>291</v>
      </c>
      <c r="S8" s="28" t="s">
        <v>293</v>
      </c>
      <c r="T8" s="80" t="s">
        <v>291</v>
      </c>
      <c r="U8" s="20" t="s">
        <v>294</v>
      </c>
      <c r="V8" s="81" t="s">
        <v>291</v>
      </c>
      <c r="W8" s="11" t="s">
        <v>294</v>
      </c>
      <c r="X8" s="28" t="s">
        <v>295</v>
      </c>
      <c r="Y8" s="65" t="s">
        <v>296</v>
      </c>
      <c r="Z8" s="37" t="s">
        <v>195</v>
      </c>
      <c r="AA8" s="82" t="s">
        <v>297</v>
      </c>
      <c r="AB8" s="83" t="s">
        <v>298</v>
      </c>
      <c r="AC8" s="84" t="s">
        <v>291</v>
      </c>
      <c r="AD8" s="85" t="s">
        <v>298</v>
      </c>
      <c r="AE8" s="54" t="s">
        <v>299</v>
      </c>
      <c r="AF8" s="83" t="s">
        <v>300</v>
      </c>
      <c r="AG8" s="84" t="s">
        <v>291</v>
      </c>
      <c r="AH8" s="85" t="s">
        <v>301</v>
      </c>
      <c r="AI8" s="69" t="s">
        <v>230</v>
      </c>
      <c r="AJ8" s="87" t="s">
        <v>297</v>
      </c>
      <c r="AK8" s="19" t="s">
        <v>1020</v>
      </c>
      <c r="AL8" s="93" t="s">
        <v>93</v>
      </c>
      <c r="AM8" s="14" t="s">
        <v>838</v>
      </c>
      <c r="AN8" s="89" t="s">
        <v>93</v>
      </c>
      <c r="AO8" s="95" t="s">
        <v>838</v>
      </c>
      <c r="AP8" s="34" t="s">
        <v>230</v>
      </c>
      <c r="AQ8" s="45" t="s">
        <v>230</v>
      </c>
      <c r="AR8" s="73" t="s">
        <v>302</v>
      </c>
    </row>
    <row r="9" spans="1:44" s="4" customFormat="1" ht="140.25" hidden="1" x14ac:dyDescent="0.25">
      <c r="A9" s="44" t="s">
        <v>79</v>
      </c>
      <c r="B9" s="44" t="s">
        <v>35</v>
      </c>
      <c r="C9" s="44" t="s">
        <v>4</v>
      </c>
      <c r="D9" s="74" t="s">
        <v>1142</v>
      </c>
      <c r="E9" s="31" t="s">
        <v>369</v>
      </c>
      <c r="F9" s="74" t="s">
        <v>1143</v>
      </c>
      <c r="G9" s="75" t="s">
        <v>370</v>
      </c>
      <c r="H9" s="43" t="s">
        <v>369</v>
      </c>
      <c r="I9" s="75" t="s">
        <v>1024</v>
      </c>
      <c r="J9" s="76" t="s">
        <v>291</v>
      </c>
      <c r="K9" s="13" t="s">
        <v>359</v>
      </c>
      <c r="L9" s="34" t="s">
        <v>195</v>
      </c>
      <c r="M9" s="17" t="s">
        <v>299</v>
      </c>
      <c r="N9" s="18" t="s">
        <v>360</v>
      </c>
      <c r="O9" s="35" t="s">
        <v>230</v>
      </c>
      <c r="P9" s="78" t="s">
        <v>291</v>
      </c>
      <c r="Q9" s="91" t="s">
        <v>361</v>
      </c>
      <c r="R9" s="79" t="s">
        <v>291</v>
      </c>
      <c r="S9" s="65" t="s">
        <v>362</v>
      </c>
      <c r="T9" s="80" t="s">
        <v>291</v>
      </c>
      <c r="U9" s="20" t="s">
        <v>363</v>
      </c>
      <c r="V9" s="98" t="s">
        <v>364</v>
      </c>
      <c r="W9" s="11" t="s">
        <v>365</v>
      </c>
      <c r="X9" s="79" t="s">
        <v>291</v>
      </c>
      <c r="Y9" s="65" t="s">
        <v>366</v>
      </c>
      <c r="Z9" s="37" t="s">
        <v>195</v>
      </c>
      <c r="AA9" s="82" t="s">
        <v>297</v>
      </c>
      <c r="AB9" s="83" t="s">
        <v>367</v>
      </c>
      <c r="AC9" s="84" t="s">
        <v>291</v>
      </c>
      <c r="AD9" s="85" t="s">
        <v>368</v>
      </c>
      <c r="AE9" s="82" t="s">
        <v>297</v>
      </c>
      <c r="AF9" s="83" t="s">
        <v>367</v>
      </c>
      <c r="AG9" s="84" t="s">
        <v>291</v>
      </c>
      <c r="AH9" s="85" t="s">
        <v>368</v>
      </c>
      <c r="AI9" s="69" t="s">
        <v>195</v>
      </c>
      <c r="AJ9" s="87" t="s">
        <v>297</v>
      </c>
      <c r="AK9" s="19" t="s">
        <v>1022</v>
      </c>
      <c r="AL9" s="93" t="s">
        <v>93</v>
      </c>
      <c r="AM9" s="13" t="s">
        <v>1023</v>
      </c>
      <c r="AN9" s="89" t="s">
        <v>93</v>
      </c>
      <c r="AO9" s="19" t="s">
        <v>1023</v>
      </c>
      <c r="AP9" s="34" t="s">
        <v>230</v>
      </c>
      <c r="AQ9" s="45" t="s">
        <v>230</v>
      </c>
      <c r="AR9" s="73" t="s">
        <v>302</v>
      </c>
    </row>
    <row r="10" spans="1:44" s="4" customFormat="1" ht="76.5" hidden="1" x14ac:dyDescent="0.25">
      <c r="A10" s="44" t="s">
        <v>380</v>
      </c>
      <c r="B10" s="44" t="s">
        <v>32</v>
      </c>
      <c r="C10" s="44" t="s">
        <v>4</v>
      </c>
      <c r="D10" s="74" t="s">
        <v>1047</v>
      </c>
      <c r="E10" s="31" t="s">
        <v>371</v>
      </c>
      <c r="F10" s="74" t="s">
        <v>1133</v>
      </c>
      <c r="G10" s="75" t="s">
        <v>372</v>
      </c>
      <c r="H10" s="43" t="s">
        <v>371</v>
      </c>
      <c r="I10" s="43" t="s">
        <v>373</v>
      </c>
      <c r="J10" s="76" t="s">
        <v>291</v>
      </c>
      <c r="K10" s="13" t="s">
        <v>374</v>
      </c>
      <c r="L10" s="34" t="s">
        <v>195</v>
      </c>
      <c r="M10" s="77" t="s">
        <v>291</v>
      </c>
      <c r="N10" s="18" t="s">
        <v>375</v>
      </c>
      <c r="O10" s="35" t="s">
        <v>195</v>
      </c>
      <c r="P10" s="78" t="s">
        <v>291</v>
      </c>
      <c r="Q10" s="91" t="s">
        <v>1048</v>
      </c>
      <c r="R10" s="79" t="s">
        <v>291</v>
      </c>
      <c r="S10" s="65" t="s">
        <v>1049</v>
      </c>
      <c r="T10" s="92" t="s">
        <v>309</v>
      </c>
      <c r="U10" s="20" t="s">
        <v>376</v>
      </c>
      <c r="V10" s="88" t="s">
        <v>309</v>
      </c>
      <c r="W10" s="11" t="s">
        <v>376</v>
      </c>
      <c r="X10" s="28" t="s">
        <v>299</v>
      </c>
      <c r="Y10" s="65" t="s">
        <v>398</v>
      </c>
      <c r="Z10" s="37" t="s">
        <v>230</v>
      </c>
      <c r="AA10" s="54" t="s">
        <v>299</v>
      </c>
      <c r="AB10" s="54" t="s">
        <v>377</v>
      </c>
      <c r="AC10" s="84" t="s">
        <v>291</v>
      </c>
      <c r="AD10" s="85" t="s">
        <v>318</v>
      </c>
      <c r="AE10" s="82" t="s">
        <v>297</v>
      </c>
      <c r="AF10" s="83" t="s">
        <v>378</v>
      </c>
      <c r="AG10" s="84" t="s">
        <v>291</v>
      </c>
      <c r="AH10" s="85" t="s">
        <v>318</v>
      </c>
      <c r="AI10" s="69" t="s">
        <v>230</v>
      </c>
      <c r="AJ10" s="87" t="s">
        <v>297</v>
      </c>
      <c r="AK10" s="19" t="s">
        <v>1050</v>
      </c>
      <c r="AL10" s="93" t="s">
        <v>93</v>
      </c>
      <c r="AM10" s="13" t="s">
        <v>838</v>
      </c>
      <c r="AN10" s="89" t="s">
        <v>93</v>
      </c>
      <c r="AO10" s="95" t="s">
        <v>838</v>
      </c>
      <c r="AP10" s="34" t="s">
        <v>230</v>
      </c>
      <c r="AQ10" s="45" t="s">
        <v>230</v>
      </c>
      <c r="AR10" s="73" t="s">
        <v>379</v>
      </c>
    </row>
    <row r="11" spans="1:44" s="4" customFormat="1" ht="153" hidden="1" x14ac:dyDescent="0.25">
      <c r="A11" s="99" t="s">
        <v>381</v>
      </c>
      <c r="B11" s="99" t="s">
        <v>36</v>
      </c>
      <c r="C11" s="44" t="s">
        <v>4</v>
      </c>
      <c r="D11" s="75" t="s">
        <v>1153</v>
      </c>
      <c r="E11" s="43" t="s">
        <v>993</v>
      </c>
      <c r="F11" s="75" t="s">
        <v>1152</v>
      </c>
      <c r="G11" s="75" t="s">
        <v>382</v>
      </c>
      <c r="H11" s="43" t="s">
        <v>383</v>
      </c>
      <c r="I11" s="75" t="s">
        <v>384</v>
      </c>
      <c r="J11" s="76" t="s">
        <v>364</v>
      </c>
      <c r="K11" s="13" t="s">
        <v>385</v>
      </c>
      <c r="L11" s="34" t="s">
        <v>195</v>
      </c>
      <c r="M11" s="77" t="s">
        <v>291</v>
      </c>
      <c r="N11" s="18" t="s">
        <v>386</v>
      </c>
      <c r="O11" s="35" t="s">
        <v>195</v>
      </c>
      <c r="P11" s="27" t="s">
        <v>309</v>
      </c>
      <c r="Q11" s="91" t="s">
        <v>994</v>
      </c>
      <c r="R11" s="28" t="s">
        <v>820</v>
      </c>
      <c r="S11" s="65" t="s">
        <v>995</v>
      </c>
      <c r="T11" s="80" t="s">
        <v>291</v>
      </c>
      <c r="U11" s="20" t="s">
        <v>387</v>
      </c>
      <c r="V11" s="81" t="s">
        <v>291</v>
      </c>
      <c r="W11" s="11" t="s">
        <v>387</v>
      </c>
      <c r="X11" s="28" t="s">
        <v>299</v>
      </c>
      <c r="Y11" s="65" t="s">
        <v>996</v>
      </c>
      <c r="Z11" s="37" t="s">
        <v>230</v>
      </c>
      <c r="AA11" s="54" t="s">
        <v>299</v>
      </c>
      <c r="AB11" s="83" t="s">
        <v>997</v>
      </c>
      <c r="AC11" s="84" t="s">
        <v>291</v>
      </c>
      <c r="AD11" s="96" t="s">
        <v>356</v>
      </c>
      <c r="AE11" s="82" t="s">
        <v>297</v>
      </c>
      <c r="AF11" s="83" t="s">
        <v>388</v>
      </c>
      <c r="AG11" s="84" t="s">
        <v>291</v>
      </c>
      <c r="AH11" s="85" t="s">
        <v>318</v>
      </c>
      <c r="AI11" s="69" t="s">
        <v>230</v>
      </c>
      <c r="AJ11" s="86" t="s">
        <v>291</v>
      </c>
      <c r="AK11" s="19" t="s">
        <v>998</v>
      </c>
      <c r="AL11" s="94" t="s">
        <v>297</v>
      </c>
      <c r="AM11" s="13" t="s">
        <v>999</v>
      </c>
      <c r="AN11" s="87" t="s">
        <v>297</v>
      </c>
      <c r="AO11" s="19" t="s">
        <v>1000</v>
      </c>
      <c r="AP11" s="34" t="s">
        <v>196</v>
      </c>
      <c r="AQ11" s="45" t="s">
        <v>196</v>
      </c>
      <c r="AR11" s="90" t="s">
        <v>1001</v>
      </c>
    </row>
    <row r="12" spans="1:44" s="4" customFormat="1" ht="89.25" hidden="1" x14ac:dyDescent="0.25">
      <c r="A12" s="44" t="s">
        <v>390</v>
      </c>
      <c r="B12" s="44" t="s">
        <v>35</v>
      </c>
      <c r="C12" s="44" t="s">
        <v>4</v>
      </c>
      <c r="D12" s="74" t="s">
        <v>1138</v>
      </c>
      <c r="E12" s="31" t="s">
        <v>391</v>
      </c>
      <c r="F12" s="74" t="s">
        <v>1139</v>
      </c>
      <c r="G12" s="75" t="s">
        <v>990</v>
      </c>
      <c r="H12" s="43" t="s">
        <v>391</v>
      </c>
      <c r="I12" s="43" t="s">
        <v>392</v>
      </c>
      <c r="J12" s="76" t="s">
        <v>291</v>
      </c>
      <c r="K12" s="13" t="s">
        <v>393</v>
      </c>
      <c r="L12" s="34" t="s">
        <v>195</v>
      </c>
      <c r="M12" s="77" t="s">
        <v>291</v>
      </c>
      <c r="N12" s="18" t="s">
        <v>394</v>
      </c>
      <c r="O12" s="35" t="s">
        <v>195</v>
      </c>
      <c r="P12" s="78" t="s">
        <v>291</v>
      </c>
      <c r="Q12" s="91" t="s">
        <v>395</v>
      </c>
      <c r="R12" s="79" t="s">
        <v>291</v>
      </c>
      <c r="S12" s="65" t="s">
        <v>396</v>
      </c>
      <c r="T12" s="92" t="s">
        <v>309</v>
      </c>
      <c r="U12" s="20" t="s">
        <v>397</v>
      </c>
      <c r="V12" s="88" t="s">
        <v>309</v>
      </c>
      <c r="W12" s="11" t="s">
        <v>397</v>
      </c>
      <c r="X12" s="28" t="s">
        <v>299</v>
      </c>
      <c r="Y12" s="65" t="s">
        <v>398</v>
      </c>
      <c r="Z12" s="37" t="s">
        <v>230</v>
      </c>
      <c r="AA12" s="54" t="s">
        <v>299</v>
      </c>
      <c r="AB12" s="54" t="s">
        <v>377</v>
      </c>
      <c r="AC12" s="84" t="s">
        <v>291</v>
      </c>
      <c r="AD12" s="85" t="s">
        <v>318</v>
      </c>
      <c r="AE12" s="82" t="s">
        <v>297</v>
      </c>
      <c r="AF12" s="83" t="s">
        <v>399</v>
      </c>
      <c r="AG12" s="84" t="s">
        <v>291</v>
      </c>
      <c r="AH12" s="85" t="s">
        <v>318</v>
      </c>
      <c r="AI12" s="69" t="s">
        <v>230</v>
      </c>
      <c r="AJ12" s="87" t="s">
        <v>297</v>
      </c>
      <c r="AK12" s="19" t="s">
        <v>991</v>
      </c>
      <c r="AL12" s="93" t="s">
        <v>93</v>
      </c>
      <c r="AM12" s="14" t="s">
        <v>992</v>
      </c>
      <c r="AN12" s="89" t="s">
        <v>93</v>
      </c>
      <c r="AO12" s="19" t="s">
        <v>838</v>
      </c>
      <c r="AP12" s="34" t="s">
        <v>230</v>
      </c>
      <c r="AQ12" s="71" t="s">
        <v>230</v>
      </c>
      <c r="AR12" s="73" t="s">
        <v>302</v>
      </c>
    </row>
    <row r="13" spans="1:44" s="4" customFormat="1" ht="114.75" hidden="1" x14ac:dyDescent="0.25">
      <c r="A13" s="44" t="s">
        <v>71</v>
      </c>
      <c r="B13" s="44" t="s">
        <v>32</v>
      </c>
      <c r="C13" s="44" t="s">
        <v>4</v>
      </c>
      <c r="D13" s="75" t="s">
        <v>1041</v>
      </c>
      <c r="E13" s="43" t="s">
        <v>401</v>
      </c>
      <c r="F13" s="75" t="s">
        <v>1040</v>
      </c>
      <c r="G13" s="75" t="s">
        <v>530</v>
      </c>
      <c r="H13" s="43" t="s">
        <v>401</v>
      </c>
      <c r="I13" s="75" t="s">
        <v>1029</v>
      </c>
      <c r="J13" s="76" t="s">
        <v>291</v>
      </c>
      <c r="K13" s="13" t="s">
        <v>402</v>
      </c>
      <c r="L13" s="34" t="s">
        <v>195</v>
      </c>
      <c r="M13" s="17" t="s">
        <v>299</v>
      </c>
      <c r="N13" s="18" t="s">
        <v>403</v>
      </c>
      <c r="O13" s="35" t="s">
        <v>230</v>
      </c>
      <c r="P13" s="118" t="s">
        <v>297</v>
      </c>
      <c r="Q13" s="115" t="s">
        <v>1042</v>
      </c>
      <c r="R13" s="119" t="s">
        <v>297</v>
      </c>
      <c r="S13" s="65" t="s">
        <v>1043</v>
      </c>
      <c r="T13" s="80" t="s">
        <v>291</v>
      </c>
      <c r="U13" s="20" t="s">
        <v>404</v>
      </c>
      <c r="V13" s="88" t="s">
        <v>309</v>
      </c>
      <c r="W13" s="11" t="s">
        <v>404</v>
      </c>
      <c r="X13" s="28" t="s">
        <v>299</v>
      </c>
      <c r="Y13" s="65" t="s">
        <v>1027</v>
      </c>
      <c r="Z13" s="37" t="s">
        <v>196</v>
      </c>
      <c r="AA13" s="54" t="s">
        <v>299</v>
      </c>
      <c r="AB13" s="83" t="s">
        <v>1028</v>
      </c>
      <c r="AC13" s="84" t="s">
        <v>291</v>
      </c>
      <c r="AD13" s="85" t="s">
        <v>318</v>
      </c>
      <c r="AE13" s="54" t="s">
        <v>299</v>
      </c>
      <c r="AF13" s="83" t="s">
        <v>406</v>
      </c>
      <c r="AG13" s="84" t="s">
        <v>291</v>
      </c>
      <c r="AH13" s="85" t="s">
        <v>318</v>
      </c>
      <c r="AI13" s="69" t="s">
        <v>230</v>
      </c>
      <c r="AJ13" s="87" t="s">
        <v>297</v>
      </c>
      <c r="AK13" s="19" t="s">
        <v>1044</v>
      </c>
      <c r="AL13" s="14" t="s">
        <v>93</v>
      </c>
      <c r="AM13" s="13" t="s">
        <v>1045</v>
      </c>
      <c r="AN13" s="89" t="s">
        <v>93</v>
      </c>
      <c r="AO13" s="95" t="s">
        <v>838</v>
      </c>
      <c r="AP13" s="34" t="s">
        <v>230</v>
      </c>
      <c r="AQ13" s="45" t="s">
        <v>196</v>
      </c>
      <c r="AR13" s="90" t="s">
        <v>1046</v>
      </c>
    </row>
    <row r="14" spans="1:44" s="4" customFormat="1" ht="140.25" hidden="1" x14ac:dyDescent="0.25">
      <c r="A14" s="44" t="s">
        <v>61</v>
      </c>
      <c r="B14" s="44" t="s">
        <v>31</v>
      </c>
      <c r="C14" s="44" t="s">
        <v>4</v>
      </c>
      <c r="D14" s="74" t="s">
        <v>1107</v>
      </c>
      <c r="E14" s="31" t="s">
        <v>407</v>
      </c>
      <c r="F14" s="74" t="s">
        <v>1104</v>
      </c>
      <c r="G14" s="75" t="s">
        <v>408</v>
      </c>
      <c r="H14" s="43" t="s">
        <v>407</v>
      </c>
      <c r="I14" s="75" t="s">
        <v>409</v>
      </c>
      <c r="J14" s="76" t="s">
        <v>291</v>
      </c>
      <c r="K14" s="13" t="s">
        <v>1004</v>
      </c>
      <c r="L14" s="34" t="s">
        <v>195</v>
      </c>
      <c r="M14" s="17" t="s">
        <v>299</v>
      </c>
      <c r="N14" s="18" t="s">
        <v>403</v>
      </c>
      <c r="O14" s="35" t="s">
        <v>230</v>
      </c>
      <c r="P14" s="78" t="s">
        <v>291</v>
      </c>
      <c r="Q14" s="27" t="s">
        <v>410</v>
      </c>
      <c r="R14" s="79" t="s">
        <v>291</v>
      </c>
      <c r="S14" s="65" t="s">
        <v>410</v>
      </c>
      <c r="T14" s="92" t="s">
        <v>299</v>
      </c>
      <c r="U14" s="20" t="s">
        <v>411</v>
      </c>
      <c r="V14" s="88" t="s">
        <v>299</v>
      </c>
      <c r="W14" s="11" t="s">
        <v>411</v>
      </c>
      <c r="X14" s="28" t="s">
        <v>299</v>
      </c>
      <c r="Y14" s="65" t="s">
        <v>412</v>
      </c>
      <c r="Z14" s="37" t="s">
        <v>230</v>
      </c>
      <c r="AA14" s="82" t="s">
        <v>297</v>
      </c>
      <c r="AB14" s="83" t="s">
        <v>413</v>
      </c>
      <c r="AC14" s="84" t="s">
        <v>291</v>
      </c>
      <c r="AD14" s="85" t="s">
        <v>318</v>
      </c>
      <c r="AE14" s="54" t="s">
        <v>299</v>
      </c>
      <c r="AF14" s="83" t="s">
        <v>1005</v>
      </c>
      <c r="AG14" s="84" t="s">
        <v>291</v>
      </c>
      <c r="AH14" s="85" t="s">
        <v>318</v>
      </c>
      <c r="AI14" s="69" t="s">
        <v>230</v>
      </c>
      <c r="AJ14" s="87" t="s">
        <v>297</v>
      </c>
      <c r="AK14" s="19" t="s">
        <v>1002</v>
      </c>
      <c r="AL14" s="14" t="s">
        <v>1003</v>
      </c>
      <c r="AM14" s="13" t="s">
        <v>838</v>
      </c>
      <c r="AN14" s="95" t="s">
        <v>1003</v>
      </c>
      <c r="AO14" s="19" t="s">
        <v>838</v>
      </c>
      <c r="AP14" s="34" t="s">
        <v>230</v>
      </c>
      <c r="AQ14" s="45" t="s">
        <v>230</v>
      </c>
      <c r="AR14" s="73" t="s">
        <v>302</v>
      </c>
    </row>
    <row r="15" spans="1:44" s="4" customFormat="1" ht="76.5" x14ac:dyDescent="0.25">
      <c r="A15" s="44" t="s">
        <v>414</v>
      </c>
      <c r="B15" s="44" t="s">
        <v>29</v>
      </c>
      <c r="C15" s="44" t="s">
        <v>4</v>
      </c>
      <c r="D15" s="74" t="s">
        <v>1065</v>
      </c>
      <c r="E15" s="31" t="s">
        <v>415</v>
      </c>
      <c r="F15" s="74" t="s">
        <v>1066</v>
      </c>
      <c r="G15" s="75" t="s">
        <v>416</v>
      </c>
      <c r="H15" s="43" t="s">
        <v>415</v>
      </c>
      <c r="I15" s="75" t="s">
        <v>290</v>
      </c>
      <c r="J15" s="76" t="s">
        <v>291</v>
      </c>
      <c r="K15" s="14" t="s">
        <v>417</v>
      </c>
      <c r="L15" s="34" t="s">
        <v>195</v>
      </c>
      <c r="M15" s="17" t="s">
        <v>299</v>
      </c>
      <c r="N15" s="18" t="s">
        <v>418</v>
      </c>
      <c r="O15" s="35" t="s">
        <v>230</v>
      </c>
      <c r="P15" s="27" t="s">
        <v>308</v>
      </c>
      <c r="Q15" s="91" t="s">
        <v>419</v>
      </c>
      <c r="R15" s="79" t="s">
        <v>291</v>
      </c>
      <c r="S15" s="65" t="s">
        <v>420</v>
      </c>
      <c r="T15" s="92" t="s">
        <v>421</v>
      </c>
      <c r="U15" s="20" t="s">
        <v>422</v>
      </c>
      <c r="V15" s="81" t="s">
        <v>291</v>
      </c>
      <c r="W15" s="11" t="s">
        <v>422</v>
      </c>
      <c r="X15" s="79" t="s">
        <v>291</v>
      </c>
      <c r="Y15" s="28" t="s">
        <v>423</v>
      </c>
      <c r="Z15" s="37" t="s">
        <v>196</v>
      </c>
      <c r="AA15" s="54" t="s">
        <v>299</v>
      </c>
      <c r="AB15" s="83" t="s">
        <v>424</v>
      </c>
      <c r="AC15" s="84" t="s">
        <v>291</v>
      </c>
      <c r="AD15" s="85" t="s">
        <v>318</v>
      </c>
      <c r="AE15" s="54" t="s">
        <v>299</v>
      </c>
      <c r="AF15" s="83" t="s">
        <v>425</v>
      </c>
      <c r="AG15" s="84" t="s">
        <v>291</v>
      </c>
      <c r="AH15" s="85" t="s">
        <v>318</v>
      </c>
      <c r="AI15" s="69" t="s">
        <v>230</v>
      </c>
      <c r="AJ15" s="87" t="s">
        <v>297</v>
      </c>
      <c r="AK15" s="19" t="s">
        <v>1031</v>
      </c>
      <c r="AL15" s="93" t="s">
        <v>93</v>
      </c>
      <c r="AM15" s="13" t="s">
        <v>838</v>
      </c>
      <c r="AN15" s="89" t="s">
        <v>93</v>
      </c>
      <c r="AO15" s="19" t="s">
        <v>838</v>
      </c>
      <c r="AP15" s="34" t="s">
        <v>230</v>
      </c>
      <c r="AQ15" s="45" t="s">
        <v>196</v>
      </c>
      <c r="AR15" s="73" t="s">
        <v>426</v>
      </c>
    </row>
    <row r="16" spans="1:44" s="4" customFormat="1" ht="204" hidden="1" x14ac:dyDescent="0.25">
      <c r="A16" s="44" t="s">
        <v>64</v>
      </c>
      <c r="B16" s="44" t="s">
        <v>32</v>
      </c>
      <c r="C16" s="44" t="s">
        <v>4</v>
      </c>
      <c r="D16" s="74" t="s">
        <v>1129</v>
      </c>
      <c r="E16" s="31" t="s">
        <v>427</v>
      </c>
      <c r="F16" s="74" t="s">
        <v>1130</v>
      </c>
      <c r="G16" s="75" t="s">
        <v>428</v>
      </c>
      <c r="H16" s="43" t="s">
        <v>427</v>
      </c>
      <c r="I16" s="75" t="s">
        <v>983</v>
      </c>
      <c r="J16" s="76" t="s">
        <v>291</v>
      </c>
      <c r="K16" s="13" t="s">
        <v>429</v>
      </c>
      <c r="L16" s="34" t="s">
        <v>195</v>
      </c>
      <c r="M16" s="17" t="s">
        <v>299</v>
      </c>
      <c r="N16" s="18" t="s">
        <v>430</v>
      </c>
      <c r="O16" s="35" t="s">
        <v>230</v>
      </c>
      <c r="P16" s="27" t="s">
        <v>309</v>
      </c>
      <c r="Q16" s="91" t="s">
        <v>431</v>
      </c>
      <c r="R16" s="79" t="s">
        <v>291</v>
      </c>
      <c r="S16" s="65" t="s">
        <v>432</v>
      </c>
      <c r="T16" s="92" t="s">
        <v>309</v>
      </c>
      <c r="U16" s="20" t="s">
        <v>433</v>
      </c>
      <c r="V16" s="81" t="s">
        <v>291</v>
      </c>
      <c r="W16" s="11" t="s">
        <v>434</v>
      </c>
      <c r="X16" s="79" t="s">
        <v>291</v>
      </c>
      <c r="Y16" s="65" t="s">
        <v>435</v>
      </c>
      <c r="Z16" s="37" t="s">
        <v>195</v>
      </c>
      <c r="AA16" s="54" t="s">
        <v>299</v>
      </c>
      <c r="AB16" s="54" t="s">
        <v>405</v>
      </c>
      <c r="AC16" s="84" t="s">
        <v>291</v>
      </c>
      <c r="AD16" s="85" t="s">
        <v>318</v>
      </c>
      <c r="AE16" s="82" t="s">
        <v>297</v>
      </c>
      <c r="AF16" s="83" t="s">
        <v>436</v>
      </c>
      <c r="AG16" s="84" t="s">
        <v>291</v>
      </c>
      <c r="AH16" s="85" t="s">
        <v>318</v>
      </c>
      <c r="AI16" s="69" t="s">
        <v>230</v>
      </c>
      <c r="AJ16" s="87" t="s">
        <v>297</v>
      </c>
      <c r="AK16" s="19" t="s">
        <v>984</v>
      </c>
      <c r="AL16" s="14" t="s">
        <v>93</v>
      </c>
      <c r="AM16" s="14" t="s">
        <v>922</v>
      </c>
      <c r="AN16" s="95" t="s">
        <v>93</v>
      </c>
      <c r="AO16" s="95" t="s">
        <v>922</v>
      </c>
      <c r="AP16" s="34" t="s">
        <v>230</v>
      </c>
      <c r="AQ16" s="71" t="s">
        <v>230</v>
      </c>
      <c r="AR16" s="90" t="s">
        <v>437</v>
      </c>
    </row>
    <row r="17" spans="1:44" s="4" customFormat="1" ht="63.75" hidden="1" x14ac:dyDescent="0.25">
      <c r="A17" s="44" t="s">
        <v>60</v>
      </c>
      <c r="B17" s="44" t="s">
        <v>30</v>
      </c>
      <c r="C17" s="44" t="s">
        <v>4</v>
      </c>
      <c r="D17" s="74" t="s">
        <v>1103</v>
      </c>
      <c r="E17" s="31" t="s">
        <v>438</v>
      </c>
      <c r="F17" s="74" t="s">
        <v>1104</v>
      </c>
      <c r="G17" s="75" t="s">
        <v>439</v>
      </c>
      <c r="H17" s="43" t="s">
        <v>438</v>
      </c>
      <c r="I17" s="75" t="s">
        <v>440</v>
      </c>
      <c r="J17" s="76" t="s">
        <v>291</v>
      </c>
      <c r="K17" s="13" t="s">
        <v>441</v>
      </c>
      <c r="L17" s="34" t="s">
        <v>195</v>
      </c>
      <c r="M17" s="17" t="s">
        <v>299</v>
      </c>
      <c r="N17" s="18" t="s">
        <v>442</v>
      </c>
      <c r="O17" s="35" t="s">
        <v>230</v>
      </c>
      <c r="P17" s="78" t="s">
        <v>291</v>
      </c>
      <c r="Q17" s="27" t="s">
        <v>443</v>
      </c>
      <c r="R17" s="79" t="s">
        <v>291</v>
      </c>
      <c r="S17" s="65" t="s">
        <v>443</v>
      </c>
      <c r="T17" s="92" t="s">
        <v>299</v>
      </c>
      <c r="U17" s="20" t="s">
        <v>444</v>
      </c>
      <c r="V17" s="81" t="s">
        <v>291</v>
      </c>
      <c r="W17" s="11" t="s">
        <v>318</v>
      </c>
      <c r="X17" s="28" t="s">
        <v>299</v>
      </c>
      <c r="Y17" s="65" t="s">
        <v>445</v>
      </c>
      <c r="Z17" s="37" t="s">
        <v>230</v>
      </c>
      <c r="AA17" s="54" t="s">
        <v>299</v>
      </c>
      <c r="AB17" s="83" t="s">
        <v>446</v>
      </c>
      <c r="AC17" s="84" t="s">
        <v>291</v>
      </c>
      <c r="AD17" s="85" t="s">
        <v>318</v>
      </c>
      <c r="AE17" s="54" t="s">
        <v>299</v>
      </c>
      <c r="AF17" s="83" t="s">
        <v>446</v>
      </c>
      <c r="AG17" s="84" t="s">
        <v>291</v>
      </c>
      <c r="AH17" s="85" t="s">
        <v>318</v>
      </c>
      <c r="AI17" s="69" t="s">
        <v>230</v>
      </c>
      <c r="AJ17" s="87" t="s">
        <v>297</v>
      </c>
      <c r="AK17" s="19" t="s">
        <v>947</v>
      </c>
      <c r="AL17" s="93" t="s">
        <v>93</v>
      </c>
      <c r="AM17" s="13" t="s">
        <v>838</v>
      </c>
      <c r="AN17" s="89" t="s">
        <v>93</v>
      </c>
      <c r="AO17" s="19" t="s">
        <v>838</v>
      </c>
      <c r="AP17" s="34" t="s">
        <v>230</v>
      </c>
      <c r="AQ17" s="45" t="s">
        <v>230</v>
      </c>
      <c r="AR17" s="90" t="s">
        <v>770</v>
      </c>
    </row>
    <row r="18" spans="1:44" s="4" customFormat="1" ht="114.75" hidden="1" x14ac:dyDescent="0.25">
      <c r="A18" s="44" t="s">
        <v>90</v>
      </c>
      <c r="B18" s="44" t="s">
        <v>30</v>
      </c>
      <c r="C18" s="44" t="s">
        <v>4</v>
      </c>
      <c r="D18" s="74" t="s">
        <v>1100</v>
      </c>
      <c r="E18" s="31" t="s">
        <v>447</v>
      </c>
      <c r="F18" s="74" t="s">
        <v>1087</v>
      </c>
      <c r="G18" s="75" t="s">
        <v>448</v>
      </c>
      <c r="H18" s="43" t="s">
        <v>447</v>
      </c>
      <c r="I18" s="75" t="s">
        <v>978</v>
      </c>
      <c r="J18" s="76" t="s">
        <v>291</v>
      </c>
      <c r="K18" s="13" t="s">
        <v>449</v>
      </c>
      <c r="L18" s="34" t="s">
        <v>195</v>
      </c>
      <c r="M18" s="100" t="s">
        <v>297</v>
      </c>
      <c r="N18" s="18" t="s">
        <v>450</v>
      </c>
      <c r="O18" s="35" t="s">
        <v>196</v>
      </c>
      <c r="P18" s="27" t="s">
        <v>308</v>
      </c>
      <c r="Q18" s="91" t="s">
        <v>451</v>
      </c>
      <c r="R18" s="28" t="s">
        <v>308</v>
      </c>
      <c r="S18" s="65" t="s">
        <v>452</v>
      </c>
      <c r="T18" s="92" t="s">
        <v>299</v>
      </c>
      <c r="U18" s="20" t="s">
        <v>453</v>
      </c>
      <c r="V18" s="88" t="s">
        <v>299</v>
      </c>
      <c r="W18" s="11" t="s">
        <v>453</v>
      </c>
      <c r="X18" s="79" t="s">
        <v>291</v>
      </c>
      <c r="Y18" s="65" t="s">
        <v>454</v>
      </c>
      <c r="Z18" s="37" t="s">
        <v>196</v>
      </c>
      <c r="AA18" s="54" t="s">
        <v>299</v>
      </c>
      <c r="AB18" s="83" t="s">
        <v>455</v>
      </c>
      <c r="AC18" s="84" t="s">
        <v>291</v>
      </c>
      <c r="AD18" s="85" t="s">
        <v>318</v>
      </c>
      <c r="AE18" s="54" t="s">
        <v>299</v>
      </c>
      <c r="AF18" s="83" t="s">
        <v>455</v>
      </c>
      <c r="AG18" s="84" t="s">
        <v>291</v>
      </c>
      <c r="AH18" s="85" t="s">
        <v>318</v>
      </c>
      <c r="AI18" s="69" t="s">
        <v>230</v>
      </c>
      <c r="AJ18" s="87" t="s">
        <v>297</v>
      </c>
      <c r="AK18" s="19" t="s">
        <v>979</v>
      </c>
      <c r="AL18" s="93" t="s">
        <v>93</v>
      </c>
      <c r="AM18" s="14" t="s">
        <v>838</v>
      </c>
      <c r="AN18" s="89" t="s">
        <v>93</v>
      </c>
      <c r="AO18" s="95" t="s">
        <v>838</v>
      </c>
      <c r="AP18" s="34" t="s">
        <v>230</v>
      </c>
      <c r="AQ18" s="45" t="s">
        <v>196</v>
      </c>
      <c r="AR18" s="90" t="s">
        <v>456</v>
      </c>
    </row>
    <row r="19" spans="1:44" s="4" customFormat="1" ht="114.75" hidden="1" x14ac:dyDescent="0.25">
      <c r="A19" s="44" t="s">
        <v>90</v>
      </c>
      <c r="B19" s="44" t="s">
        <v>28</v>
      </c>
      <c r="C19" s="44" t="s">
        <v>4</v>
      </c>
      <c r="D19" s="74" t="s">
        <v>1086</v>
      </c>
      <c r="E19" s="31" t="s">
        <v>457</v>
      </c>
      <c r="F19" s="74" t="s">
        <v>1087</v>
      </c>
      <c r="G19" s="75" t="s">
        <v>980</v>
      </c>
      <c r="H19" s="43" t="s">
        <v>457</v>
      </c>
      <c r="I19" s="75" t="s">
        <v>981</v>
      </c>
      <c r="J19" s="76" t="s">
        <v>291</v>
      </c>
      <c r="K19" s="13" t="s">
        <v>449</v>
      </c>
      <c r="L19" s="34" t="s">
        <v>195</v>
      </c>
      <c r="M19" s="77" t="s">
        <v>291</v>
      </c>
      <c r="N19" s="18" t="s">
        <v>458</v>
      </c>
      <c r="O19" s="35" t="s">
        <v>195</v>
      </c>
      <c r="P19" s="27" t="s">
        <v>309</v>
      </c>
      <c r="Q19" s="91" t="s">
        <v>459</v>
      </c>
      <c r="R19" s="28" t="s">
        <v>309</v>
      </c>
      <c r="S19" s="65" t="s">
        <v>460</v>
      </c>
      <c r="T19" s="80" t="s">
        <v>291</v>
      </c>
      <c r="U19" s="20" t="s">
        <v>461</v>
      </c>
      <c r="V19" s="88" t="s">
        <v>299</v>
      </c>
      <c r="W19" s="11" t="s">
        <v>462</v>
      </c>
      <c r="X19" s="28" t="s">
        <v>299</v>
      </c>
      <c r="Y19" s="65" t="s">
        <v>463</v>
      </c>
      <c r="Z19" s="37" t="s">
        <v>230</v>
      </c>
      <c r="AA19" s="54" t="s">
        <v>299</v>
      </c>
      <c r="AB19" s="83" t="s">
        <v>455</v>
      </c>
      <c r="AC19" s="84" t="s">
        <v>291</v>
      </c>
      <c r="AD19" s="85" t="s">
        <v>318</v>
      </c>
      <c r="AE19" s="82" t="s">
        <v>297</v>
      </c>
      <c r="AF19" s="83" t="s">
        <v>464</v>
      </c>
      <c r="AG19" s="84" t="s">
        <v>291</v>
      </c>
      <c r="AH19" s="85" t="s">
        <v>318</v>
      </c>
      <c r="AI19" s="69" t="s">
        <v>230</v>
      </c>
      <c r="AJ19" s="87" t="s">
        <v>297</v>
      </c>
      <c r="AK19" s="19" t="s">
        <v>982</v>
      </c>
      <c r="AL19" s="93" t="s">
        <v>93</v>
      </c>
      <c r="AM19" s="14" t="s">
        <v>838</v>
      </c>
      <c r="AN19" s="89" t="s">
        <v>93</v>
      </c>
      <c r="AO19" s="95" t="s">
        <v>838</v>
      </c>
      <c r="AP19" s="34" t="s">
        <v>230</v>
      </c>
      <c r="AQ19" s="45" t="s">
        <v>230</v>
      </c>
      <c r="AR19" s="73" t="s">
        <v>302</v>
      </c>
    </row>
    <row r="20" spans="1:44" s="4" customFormat="1" ht="178.5" hidden="1" x14ac:dyDescent="0.25">
      <c r="A20" s="44" t="s">
        <v>465</v>
      </c>
      <c r="B20" s="44" t="s">
        <v>30</v>
      </c>
      <c r="C20" s="44" t="s">
        <v>4</v>
      </c>
      <c r="D20" s="74" t="s">
        <v>1101</v>
      </c>
      <c r="E20" s="31" t="s">
        <v>466</v>
      </c>
      <c r="F20" s="74" t="s">
        <v>1105</v>
      </c>
      <c r="G20" s="75" t="s">
        <v>439</v>
      </c>
      <c r="H20" s="75" t="s">
        <v>466</v>
      </c>
      <c r="I20" s="75" t="s">
        <v>467</v>
      </c>
      <c r="J20" s="76" t="s">
        <v>291</v>
      </c>
      <c r="K20" s="13" t="s">
        <v>468</v>
      </c>
      <c r="L20" s="34" t="s">
        <v>195</v>
      </c>
      <c r="M20" s="17" t="s">
        <v>299</v>
      </c>
      <c r="N20" s="18" t="s">
        <v>469</v>
      </c>
      <c r="O20" s="35" t="s">
        <v>230</v>
      </c>
      <c r="P20" s="78" t="s">
        <v>291</v>
      </c>
      <c r="Q20" s="91" t="s">
        <v>470</v>
      </c>
      <c r="R20" s="79" t="s">
        <v>291</v>
      </c>
      <c r="S20" s="65" t="s">
        <v>471</v>
      </c>
      <c r="T20" s="92" t="s">
        <v>299</v>
      </c>
      <c r="U20" s="20" t="s">
        <v>472</v>
      </c>
      <c r="V20" s="88" t="s">
        <v>299</v>
      </c>
      <c r="W20" s="11" t="s">
        <v>473</v>
      </c>
      <c r="X20" s="28" t="s">
        <v>299</v>
      </c>
      <c r="Y20" s="65" t="s">
        <v>474</v>
      </c>
      <c r="Z20" s="37" t="s">
        <v>230</v>
      </c>
      <c r="AA20" s="54" t="s">
        <v>299</v>
      </c>
      <c r="AB20" s="83" t="s">
        <v>475</v>
      </c>
      <c r="AC20" s="84" t="s">
        <v>291</v>
      </c>
      <c r="AD20" s="85" t="s">
        <v>476</v>
      </c>
      <c r="AE20" s="82" t="s">
        <v>297</v>
      </c>
      <c r="AF20" s="83" t="s">
        <v>477</v>
      </c>
      <c r="AG20" s="84" t="s">
        <v>291</v>
      </c>
      <c r="AH20" s="85" t="s">
        <v>476</v>
      </c>
      <c r="AI20" s="69" t="s">
        <v>230</v>
      </c>
      <c r="AJ20" s="87" t="s">
        <v>297</v>
      </c>
      <c r="AK20" s="19" t="s">
        <v>988</v>
      </c>
      <c r="AL20" s="93" t="s">
        <v>93</v>
      </c>
      <c r="AM20" s="14" t="s">
        <v>838</v>
      </c>
      <c r="AN20" s="89" t="s">
        <v>93</v>
      </c>
      <c r="AO20" s="19" t="s">
        <v>838</v>
      </c>
      <c r="AP20" s="34" t="s">
        <v>230</v>
      </c>
      <c r="AQ20" s="45" t="s">
        <v>230</v>
      </c>
      <c r="AR20" s="90" t="s">
        <v>302</v>
      </c>
    </row>
    <row r="21" spans="1:44" s="4" customFormat="1" ht="89.25" hidden="1" x14ac:dyDescent="0.25">
      <c r="A21" s="44" t="s">
        <v>87</v>
      </c>
      <c r="B21" s="44" t="s">
        <v>486</v>
      </c>
      <c r="C21" s="44" t="s">
        <v>4</v>
      </c>
      <c r="D21" s="74" t="s">
        <v>1160</v>
      </c>
      <c r="E21" s="31" t="s">
        <v>478</v>
      </c>
      <c r="F21" s="75" t="s">
        <v>1161</v>
      </c>
      <c r="G21" s="75" t="s">
        <v>479</v>
      </c>
      <c r="H21" s="43" t="s">
        <v>478</v>
      </c>
      <c r="I21" s="75" t="s">
        <v>480</v>
      </c>
      <c r="J21" s="76" t="s">
        <v>291</v>
      </c>
      <c r="K21" s="13" t="s">
        <v>481</v>
      </c>
      <c r="L21" s="34" t="s">
        <v>195</v>
      </c>
      <c r="M21" s="17" t="s">
        <v>299</v>
      </c>
      <c r="N21" s="18" t="s">
        <v>482</v>
      </c>
      <c r="O21" s="35" t="s">
        <v>230</v>
      </c>
      <c r="P21" s="78" t="s">
        <v>291</v>
      </c>
      <c r="Q21" s="27" t="s">
        <v>410</v>
      </c>
      <c r="R21" s="79" t="s">
        <v>364</v>
      </c>
      <c r="S21" s="65" t="s">
        <v>410</v>
      </c>
      <c r="T21" s="80" t="s">
        <v>291</v>
      </c>
      <c r="U21" s="20" t="s">
        <v>483</v>
      </c>
      <c r="V21" s="81" t="s">
        <v>291</v>
      </c>
      <c r="W21" s="11" t="s">
        <v>483</v>
      </c>
      <c r="X21" s="79" t="s">
        <v>291</v>
      </c>
      <c r="Y21" s="65" t="s">
        <v>484</v>
      </c>
      <c r="Z21" s="37" t="s">
        <v>195</v>
      </c>
      <c r="AA21" s="82" t="s">
        <v>297</v>
      </c>
      <c r="AB21" s="83" t="s">
        <v>485</v>
      </c>
      <c r="AC21" s="84" t="s">
        <v>291</v>
      </c>
      <c r="AD21" s="85" t="s">
        <v>318</v>
      </c>
      <c r="AE21" s="82" t="s">
        <v>297</v>
      </c>
      <c r="AF21" s="83" t="s">
        <v>485</v>
      </c>
      <c r="AG21" s="84" t="s">
        <v>291</v>
      </c>
      <c r="AH21" s="85" t="s">
        <v>318</v>
      </c>
      <c r="AI21" s="69" t="s">
        <v>195</v>
      </c>
      <c r="AJ21" s="87" t="s">
        <v>297</v>
      </c>
      <c r="AK21" s="19" t="s">
        <v>1011</v>
      </c>
      <c r="AL21" s="93" t="s">
        <v>93</v>
      </c>
      <c r="AM21" s="13" t="s">
        <v>838</v>
      </c>
      <c r="AN21" s="89" t="s">
        <v>93</v>
      </c>
      <c r="AO21" s="19" t="s">
        <v>838</v>
      </c>
      <c r="AP21" s="34" t="s">
        <v>230</v>
      </c>
      <c r="AQ21" s="71" t="s">
        <v>230</v>
      </c>
      <c r="AR21" s="90" t="s">
        <v>770</v>
      </c>
    </row>
    <row r="22" spans="1:44" s="4" customFormat="1" ht="89.25" hidden="1" x14ac:dyDescent="0.25">
      <c r="A22" s="44" t="s">
        <v>487</v>
      </c>
      <c r="B22" s="44" t="s">
        <v>486</v>
      </c>
      <c r="C22" s="44" t="s">
        <v>4</v>
      </c>
      <c r="D22" s="74" t="s">
        <v>1154</v>
      </c>
      <c r="E22" s="31" t="s">
        <v>488</v>
      </c>
      <c r="F22" s="74" t="s">
        <v>1155</v>
      </c>
      <c r="G22" s="75" t="s">
        <v>489</v>
      </c>
      <c r="H22" s="43" t="s">
        <v>488</v>
      </c>
      <c r="I22" s="75" t="s">
        <v>290</v>
      </c>
      <c r="J22" s="76" t="s">
        <v>291</v>
      </c>
      <c r="K22" s="13" t="s">
        <v>490</v>
      </c>
      <c r="L22" s="34" t="s">
        <v>195</v>
      </c>
      <c r="M22" s="17" t="s">
        <v>299</v>
      </c>
      <c r="N22" s="18" t="s">
        <v>491</v>
      </c>
      <c r="O22" s="35" t="s">
        <v>230</v>
      </c>
      <c r="P22" s="27" t="s">
        <v>309</v>
      </c>
      <c r="Q22" s="27" t="s">
        <v>293</v>
      </c>
      <c r="R22" s="28" t="s">
        <v>309</v>
      </c>
      <c r="S22" s="28" t="s">
        <v>293</v>
      </c>
      <c r="T22" s="92" t="s">
        <v>309</v>
      </c>
      <c r="U22" s="20" t="s">
        <v>492</v>
      </c>
      <c r="V22" s="81" t="s">
        <v>291</v>
      </c>
      <c r="W22" s="11" t="s">
        <v>492</v>
      </c>
      <c r="X22" s="79" t="s">
        <v>291</v>
      </c>
      <c r="Y22" s="65" t="s">
        <v>493</v>
      </c>
      <c r="Z22" s="37" t="s">
        <v>195</v>
      </c>
      <c r="AA22" s="54" t="s">
        <v>299</v>
      </c>
      <c r="AB22" s="83" t="s">
        <v>494</v>
      </c>
      <c r="AC22" s="84" t="s">
        <v>291</v>
      </c>
      <c r="AD22" s="85" t="s">
        <v>495</v>
      </c>
      <c r="AE22" s="102" t="s">
        <v>299</v>
      </c>
      <c r="AF22" s="103" t="s">
        <v>496</v>
      </c>
      <c r="AG22" s="84" t="s">
        <v>291</v>
      </c>
      <c r="AH22" s="85" t="s">
        <v>495</v>
      </c>
      <c r="AI22" s="69" t="s">
        <v>230</v>
      </c>
      <c r="AJ22" s="87" t="s">
        <v>297</v>
      </c>
      <c r="AK22" s="19" t="s">
        <v>1030</v>
      </c>
      <c r="AL22" s="93" t="s">
        <v>93</v>
      </c>
      <c r="AM22" s="13" t="s">
        <v>838</v>
      </c>
      <c r="AN22" s="89" t="s">
        <v>93</v>
      </c>
      <c r="AO22" s="95" t="s">
        <v>838</v>
      </c>
      <c r="AP22" s="34" t="s">
        <v>230</v>
      </c>
      <c r="AQ22" s="45" t="s">
        <v>230</v>
      </c>
      <c r="AR22" s="90" t="s">
        <v>497</v>
      </c>
    </row>
    <row r="23" spans="1:44" s="4" customFormat="1" ht="89.25" hidden="1" x14ac:dyDescent="0.25">
      <c r="A23" s="44" t="s">
        <v>77</v>
      </c>
      <c r="B23" s="44" t="s">
        <v>33</v>
      </c>
      <c r="C23" s="44" t="s">
        <v>4</v>
      </c>
      <c r="D23" s="74" t="s">
        <v>1134</v>
      </c>
      <c r="E23" s="31" t="s">
        <v>498</v>
      </c>
      <c r="F23" s="74" t="s">
        <v>1135</v>
      </c>
      <c r="G23" s="74" t="s">
        <v>499</v>
      </c>
      <c r="H23" s="31" t="s">
        <v>498</v>
      </c>
      <c r="I23" s="75" t="s">
        <v>290</v>
      </c>
      <c r="J23" s="76" t="s">
        <v>291</v>
      </c>
      <c r="K23" s="13" t="s">
        <v>500</v>
      </c>
      <c r="L23" s="34" t="s">
        <v>195</v>
      </c>
      <c r="M23" s="17" t="s">
        <v>299</v>
      </c>
      <c r="N23" s="18" t="s">
        <v>501</v>
      </c>
      <c r="O23" s="35" t="s">
        <v>230</v>
      </c>
      <c r="P23" s="78" t="s">
        <v>291</v>
      </c>
      <c r="Q23" s="91" t="s">
        <v>502</v>
      </c>
      <c r="R23" s="79" t="s">
        <v>291</v>
      </c>
      <c r="S23" s="65" t="s">
        <v>503</v>
      </c>
      <c r="T23" s="92" t="s">
        <v>299</v>
      </c>
      <c r="U23" s="20" t="s">
        <v>504</v>
      </c>
      <c r="V23" s="88" t="s">
        <v>299</v>
      </c>
      <c r="W23" s="11" t="s">
        <v>504</v>
      </c>
      <c r="X23" s="79" t="s">
        <v>291</v>
      </c>
      <c r="Y23" s="65" t="s">
        <v>505</v>
      </c>
      <c r="Z23" s="37" t="s">
        <v>230</v>
      </c>
      <c r="AA23" s="82" t="s">
        <v>297</v>
      </c>
      <c r="AB23" s="83" t="s">
        <v>506</v>
      </c>
      <c r="AC23" s="84" t="s">
        <v>291</v>
      </c>
      <c r="AD23" s="96" t="s">
        <v>507</v>
      </c>
      <c r="AE23" s="54" t="s">
        <v>299</v>
      </c>
      <c r="AF23" s="83" t="s">
        <v>508</v>
      </c>
      <c r="AG23" s="84" t="s">
        <v>291</v>
      </c>
      <c r="AH23" s="96" t="s">
        <v>509</v>
      </c>
      <c r="AI23" s="69" t="s">
        <v>230</v>
      </c>
      <c r="AJ23" s="87" t="s">
        <v>297</v>
      </c>
      <c r="AK23" s="19" t="s">
        <v>917</v>
      </c>
      <c r="AL23" s="14" t="s">
        <v>93</v>
      </c>
      <c r="AM23" s="13" t="s">
        <v>838</v>
      </c>
      <c r="AN23" s="89" t="s">
        <v>93</v>
      </c>
      <c r="AO23" s="19" t="s">
        <v>838</v>
      </c>
      <c r="AP23" s="34" t="s">
        <v>230</v>
      </c>
      <c r="AQ23" s="45" t="s">
        <v>230</v>
      </c>
      <c r="AR23" s="90" t="s">
        <v>302</v>
      </c>
    </row>
    <row r="24" spans="1:44" s="4" customFormat="1" ht="89.25" hidden="1" x14ac:dyDescent="0.25">
      <c r="A24" s="44" t="s">
        <v>73</v>
      </c>
      <c r="B24" s="44" t="s">
        <v>32</v>
      </c>
      <c r="C24" s="44" t="s">
        <v>4</v>
      </c>
      <c r="D24" s="74" t="s">
        <v>1119</v>
      </c>
      <c r="E24" s="31" t="s">
        <v>510</v>
      </c>
      <c r="F24" s="74" t="s">
        <v>1120</v>
      </c>
      <c r="G24" s="75" t="s">
        <v>511</v>
      </c>
      <c r="H24" s="43" t="s">
        <v>512</v>
      </c>
      <c r="I24" s="75" t="s">
        <v>513</v>
      </c>
      <c r="J24" s="76" t="s">
        <v>291</v>
      </c>
      <c r="K24" s="13" t="s">
        <v>514</v>
      </c>
      <c r="L24" s="34" t="s">
        <v>195</v>
      </c>
      <c r="M24" s="17" t="s">
        <v>299</v>
      </c>
      <c r="N24" s="18" t="s">
        <v>515</v>
      </c>
      <c r="O24" s="35" t="s">
        <v>230</v>
      </c>
      <c r="P24" s="78" t="s">
        <v>291</v>
      </c>
      <c r="Q24" s="91" t="s">
        <v>516</v>
      </c>
      <c r="R24" s="28" t="s">
        <v>308</v>
      </c>
      <c r="S24" s="65" t="s">
        <v>517</v>
      </c>
      <c r="T24" s="80" t="s">
        <v>291</v>
      </c>
      <c r="U24" s="20" t="s">
        <v>518</v>
      </c>
      <c r="V24" s="88" t="s">
        <v>519</v>
      </c>
      <c r="W24" s="11" t="s">
        <v>518</v>
      </c>
      <c r="X24" s="28" t="s">
        <v>299</v>
      </c>
      <c r="Y24" s="28" t="s">
        <v>520</v>
      </c>
      <c r="Z24" s="37" t="s">
        <v>196</v>
      </c>
      <c r="AA24" s="54" t="s">
        <v>299</v>
      </c>
      <c r="AB24" s="83" t="s">
        <v>521</v>
      </c>
      <c r="AC24" s="84" t="s">
        <v>291</v>
      </c>
      <c r="AD24" s="85" t="s">
        <v>301</v>
      </c>
      <c r="AE24" s="54" t="s">
        <v>299</v>
      </c>
      <c r="AF24" s="83" t="s">
        <v>522</v>
      </c>
      <c r="AG24" s="84" t="s">
        <v>291</v>
      </c>
      <c r="AH24" s="85" t="s">
        <v>301</v>
      </c>
      <c r="AI24" s="69" t="s">
        <v>230</v>
      </c>
      <c r="AJ24" s="86" t="s">
        <v>291</v>
      </c>
      <c r="AK24" s="19" t="s">
        <v>962</v>
      </c>
      <c r="AL24" s="76" t="s">
        <v>291</v>
      </c>
      <c r="AM24" s="13" t="s">
        <v>963</v>
      </c>
      <c r="AN24" s="89" t="s">
        <v>93</v>
      </c>
      <c r="AO24" s="19" t="s">
        <v>928</v>
      </c>
      <c r="AP24" s="34" t="s">
        <v>195</v>
      </c>
      <c r="AQ24" s="45" t="s">
        <v>196</v>
      </c>
      <c r="AR24" s="90" t="s">
        <v>523</v>
      </c>
    </row>
    <row r="25" spans="1:44" s="4" customFormat="1" ht="102" x14ac:dyDescent="0.25">
      <c r="A25" s="44" t="s">
        <v>42</v>
      </c>
      <c r="B25" s="44" t="s">
        <v>29</v>
      </c>
      <c r="C25" s="44" t="s">
        <v>4</v>
      </c>
      <c r="D25" s="74" t="s">
        <v>1071</v>
      </c>
      <c r="E25" s="31" t="s">
        <v>93</v>
      </c>
      <c r="F25" s="74" t="s">
        <v>93</v>
      </c>
      <c r="G25" s="75" t="s">
        <v>525</v>
      </c>
      <c r="H25" s="43" t="s">
        <v>524</v>
      </c>
      <c r="I25" s="75" t="s">
        <v>1006</v>
      </c>
      <c r="J25" s="76" t="s">
        <v>291</v>
      </c>
      <c r="K25" s="13" t="s">
        <v>526</v>
      </c>
      <c r="L25" s="34" t="s">
        <v>195</v>
      </c>
      <c r="M25" s="17" t="s">
        <v>299</v>
      </c>
      <c r="N25" s="18" t="s">
        <v>527</v>
      </c>
      <c r="O25" s="35" t="s">
        <v>230</v>
      </c>
      <c r="P25" s="27" t="s">
        <v>93</v>
      </c>
      <c r="Q25" s="91" t="s">
        <v>1071</v>
      </c>
      <c r="R25" s="28" t="s">
        <v>93</v>
      </c>
      <c r="S25" s="65" t="s">
        <v>1071</v>
      </c>
      <c r="T25" s="80" t="s">
        <v>291</v>
      </c>
      <c r="U25" s="20" t="s">
        <v>528</v>
      </c>
      <c r="V25" s="88" t="s">
        <v>309</v>
      </c>
      <c r="W25" s="11" t="s">
        <v>528</v>
      </c>
      <c r="X25" s="121" t="s">
        <v>93</v>
      </c>
      <c r="Y25" s="65" t="s">
        <v>1072</v>
      </c>
      <c r="Z25" s="37" t="s">
        <v>93</v>
      </c>
      <c r="AA25" s="102" t="s">
        <v>93</v>
      </c>
      <c r="AB25" s="83" t="s">
        <v>1071</v>
      </c>
      <c r="AC25" s="120" t="s">
        <v>93</v>
      </c>
      <c r="AD25" s="85" t="s">
        <v>1071</v>
      </c>
      <c r="AE25" s="82" t="s">
        <v>297</v>
      </c>
      <c r="AF25" s="83" t="s">
        <v>529</v>
      </c>
      <c r="AG25" s="84" t="s">
        <v>291</v>
      </c>
      <c r="AH25" s="85" t="s">
        <v>318</v>
      </c>
      <c r="AI25" s="69" t="s">
        <v>93</v>
      </c>
      <c r="AJ25" s="89" t="s">
        <v>93</v>
      </c>
      <c r="AK25" s="19" t="s">
        <v>1072</v>
      </c>
      <c r="AL25" s="93" t="s">
        <v>93</v>
      </c>
      <c r="AM25" s="13" t="s">
        <v>1072</v>
      </c>
      <c r="AN25" s="95" t="s">
        <v>93</v>
      </c>
      <c r="AO25" s="19" t="s">
        <v>1072</v>
      </c>
      <c r="AP25" s="34" t="s">
        <v>93</v>
      </c>
      <c r="AQ25" s="45" t="s">
        <v>93</v>
      </c>
      <c r="AR25" s="90" t="s">
        <v>1073</v>
      </c>
    </row>
    <row r="26" spans="1:44" s="4" customFormat="1" ht="89.25" hidden="1" x14ac:dyDescent="0.25">
      <c r="A26" s="44" t="s">
        <v>531</v>
      </c>
      <c r="B26" s="44" t="s">
        <v>486</v>
      </c>
      <c r="C26" s="44" t="s">
        <v>4</v>
      </c>
      <c r="D26" s="74" t="s">
        <v>1156</v>
      </c>
      <c r="E26" s="31" t="s">
        <v>532</v>
      </c>
      <c r="F26" s="74" t="s">
        <v>1157</v>
      </c>
      <c r="G26" s="75" t="s">
        <v>533</v>
      </c>
      <c r="H26" s="43" t="s">
        <v>534</v>
      </c>
      <c r="I26" s="75" t="s">
        <v>290</v>
      </c>
      <c r="J26" s="76" t="s">
        <v>291</v>
      </c>
      <c r="K26" s="14" t="s">
        <v>535</v>
      </c>
      <c r="L26" s="34" t="s">
        <v>195</v>
      </c>
      <c r="M26" s="17" t="s">
        <v>299</v>
      </c>
      <c r="N26" s="18" t="s">
        <v>536</v>
      </c>
      <c r="O26" s="35" t="s">
        <v>230</v>
      </c>
      <c r="P26" s="78" t="s">
        <v>291</v>
      </c>
      <c r="Q26" s="27" t="s">
        <v>293</v>
      </c>
      <c r="R26" s="79" t="s">
        <v>291</v>
      </c>
      <c r="S26" s="28" t="s">
        <v>293</v>
      </c>
      <c r="T26" s="80" t="s">
        <v>291</v>
      </c>
      <c r="U26" s="20" t="s">
        <v>537</v>
      </c>
      <c r="V26" s="81" t="s">
        <v>291</v>
      </c>
      <c r="W26" s="11" t="s">
        <v>537</v>
      </c>
      <c r="X26" s="79" t="s">
        <v>291</v>
      </c>
      <c r="Y26" s="65" t="s">
        <v>538</v>
      </c>
      <c r="Z26" s="37" t="s">
        <v>195</v>
      </c>
      <c r="AA26" s="104" t="s">
        <v>291</v>
      </c>
      <c r="AB26" s="83" t="s">
        <v>539</v>
      </c>
      <c r="AC26" s="84" t="s">
        <v>291</v>
      </c>
      <c r="AD26" s="85" t="s">
        <v>495</v>
      </c>
      <c r="AE26" s="104" t="s">
        <v>291</v>
      </c>
      <c r="AF26" s="83" t="s">
        <v>539</v>
      </c>
      <c r="AG26" s="105" t="s">
        <v>291</v>
      </c>
      <c r="AH26" s="85" t="s">
        <v>495</v>
      </c>
      <c r="AI26" s="69" t="s">
        <v>196</v>
      </c>
      <c r="AJ26" s="87" t="s">
        <v>297</v>
      </c>
      <c r="AK26" s="95" t="s">
        <v>1011</v>
      </c>
      <c r="AL26" s="93" t="s">
        <v>93</v>
      </c>
      <c r="AM26" s="14" t="s">
        <v>922</v>
      </c>
      <c r="AN26" s="89" t="s">
        <v>93</v>
      </c>
      <c r="AO26" s="95" t="s">
        <v>838</v>
      </c>
      <c r="AP26" s="34" t="s">
        <v>230</v>
      </c>
      <c r="AQ26" s="45" t="s">
        <v>196</v>
      </c>
      <c r="AR26" s="90" t="s">
        <v>540</v>
      </c>
    </row>
    <row r="27" spans="1:44" s="4" customFormat="1" ht="165.75" hidden="1" x14ac:dyDescent="0.25">
      <c r="A27" s="44" t="s">
        <v>62</v>
      </c>
      <c r="B27" s="44" t="s">
        <v>31</v>
      </c>
      <c r="C27" s="44" t="s">
        <v>4</v>
      </c>
      <c r="D27" s="74" t="s">
        <v>1108</v>
      </c>
      <c r="E27" s="31" t="s">
        <v>541</v>
      </c>
      <c r="F27" s="74" t="s">
        <v>1109</v>
      </c>
      <c r="G27" s="74" t="s">
        <v>542</v>
      </c>
      <c r="H27" s="31" t="s">
        <v>541</v>
      </c>
      <c r="I27" s="74" t="s">
        <v>543</v>
      </c>
      <c r="J27" s="76" t="s">
        <v>291</v>
      </c>
      <c r="K27" s="13" t="s">
        <v>544</v>
      </c>
      <c r="L27" s="34" t="s">
        <v>195</v>
      </c>
      <c r="M27" s="77" t="s">
        <v>291</v>
      </c>
      <c r="N27" s="18" t="s">
        <v>545</v>
      </c>
      <c r="O27" s="35" t="s">
        <v>195</v>
      </c>
      <c r="P27" s="27" t="s">
        <v>309</v>
      </c>
      <c r="Q27" s="91" t="s">
        <v>546</v>
      </c>
      <c r="R27" s="28" t="s">
        <v>309</v>
      </c>
      <c r="S27" s="65" t="s">
        <v>546</v>
      </c>
      <c r="T27" s="92" t="s">
        <v>299</v>
      </c>
      <c r="U27" s="92" t="s">
        <v>547</v>
      </c>
      <c r="V27" s="88" t="s">
        <v>299</v>
      </c>
      <c r="W27" s="88" t="s">
        <v>547</v>
      </c>
      <c r="X27" s="28" t="s">
        <v>299</v>
      </c>
      <c r="Y27" s="28" t="s">
        <v>520</v>
      </c>
      <c r="Z27" s="37" t="s">
        <v>230</v>
      </c>
      <c r="AA27" s="54" t="s">
        <v>299</v>
      </c>
      <c r="AB27" s="83" t="s">
        <v>548</v>
      </c>
      <c r="AC27" s="84" t="s">
        <v>291</v>
      </c>
      <c r="AD27" s="96" t="s">
        <v>507</v>
      </c>
      <c r="AE27" s="54" t="s">
        <v>299</v>
      </c>
      <c r="AF27" s="83" t="s">
        <v>548</v>
      </c>
      <c r="AG27" s="84" t="s">
        <v>291</v>
      </c>
      <c r="AH27" s="96" t="s">
        <v>507</v>
      </c>
      <c r="AI27" s="69" t="s">
        <v>230</v>
      </c>
      <c r="AJ27" s="87" t="s">
        <v>389</v>
      </c>
      <c r="AK27" s="19" t="s">
        <v>1007</v>
      </c>
      <c r="AL27" s="14" t="s">
        <v>93</v>
      </c>
      <c r="AM27" s="13" t="s">
        <v>937</v>
      </c>
      <c r="AN27" s="95" t="s">
        <v>93</v>
      </c>
      <c r="AO27" s="19" t="s">
        <v>937</v>
      </c>
      <c r="AP27" s="34" t="s">
        <v>230</v>
      </c>
      <c r="AQ27" s="45" t="s">
        <v>230</v>
      </c>
      <c r="AR27" s="90" t="s">
        <v>549</v>
      </c>
    </row>
    <row r="28" spans="1:44" s="4" customFormat="1" ht="102" hidden="1" x14ac:dyDescent="0.25">
      <c r="A28" s="44" t="s">
        <v>59</v>
      </c>
      <c r="B28" s="44" t="s">
        <v>30</v>
      </c>
      <c r="C28" s="44" t="s">
        <v>4</v>
      </c>
      <c r="D28" s="74" t="s">
        <v>1102</v>
      </c>
      <c r="E28" s="31" t="s">
        <v>550</v>
      </c>
      <c r="F28" s="74" t="s">
        <v>1106</v>
      </c>
      <c r="G28" s="75" t="s">
        <v>551</v>
      </c>
      <c r="H28" s="43" t="s">
        <v>550</v>
      </c>
      <c r="I28" s="75" t="s">
        <v>1013</v>
      </c>
      <c r="J28" s="94" t="s">
        <v>297</v>
      </c>
      <c r="K28" s="13" t="s">
        <v>552</v>
      </c>
      <c r="L28" s="34" t="s">
        <v>196</v>
      </c>
      <c r="M28" s="17" t="s">
        <v>299</v>
      </c>
      <c r="N28" s="18" t="s">
        <v>553</v>
      </c>
      <c r="O28" s="35" t="s">
        <v>230</v>
      </c>
      <c r="P28" s="27" t="s">
        <v>308</v>
      </c>
      <c r="Q28" s="91" t="s">
        <v>554</v>
      </c>
      <c r="R28" s="28" t="s">
        <v>308</v>
      </c>
      <c r="S28" s="65" t="s">
        <v>555</v>
      </c>
      <c r="T28" s="92" t="s">
        <v>299</v>
      </c>
      <c r="U28" s="20" t="s">
        <v>556</v>
      </c>
      <c r="V28" s="88" t="s">
        <v>299</v>
      </c>
      <c r="W28" s="11" t="s">
        <v>556</v>
      </c>
      <c r="X28" s="28" t="s">
        <v>299</v>
      </c>
      <c r="Y28" s="65" t="s">
        <v>557</v>
      </c>
      <c r="Z28" s="37" t="s">
        <v>196</v>
      </c>
      <c r="AA28" s="82" t="s">
        <v>297</v>
      </c>
      <c r="AB28" s="83" t="s">
        <v>558</v>
      </c>
      <c r="AC28" s="84" t="s">
        <v>291</v>
      </c>
      <c r="AD28" s="85" t="s">
        <v>318</v>
      </c>
      <c r="AE28" s="82" t="s">
        <v>297</v>
      </c>
      <c r="AF28" s="83" t="s">
        <v>559</v>
      </c>
      <c r="AG28" s="84" t="s">
        <v>291</v>
      </c>
      <c r="AH28" s="85" t="s">
        <v>318</v>
      </c>
      <c r="AI28" s="69" t="s">
        <v>195</v>
      </c>
      <c r="AJ28" s="87" t="s">
        <v>297</v>
      </c>
      <c r="AK28" s="95" t="s">
        <v>1012</v>
      </c>
      <c r="AL28" s="93" t="s">
        <v>93</v>
      </c>
      <c r="AM28" s="14" t="s">
        <v>838</v>
      </c>
      <c r="AN28" s="89" t="s">
        <v>93</v>
      </c>
      <c r="AO28" s="95" t="s">
        <v>838</v>
      </c>
      <c r="AP28" s="34" t="s">
        <v>230</v>
      </c>
      <c r="AQ28" s="45" t="s">
        <v>196</v>
      </c>
      <c r="AR28" s="90" t="s">
        <v>560</v>
      </c>
    </row>
    <row r="29" spans="1:44" s="4" customFormat="1" ht="191.25" hidden="1" x14ac:dyDescent="0.25">
      <c r="A29" s="44" t="s">
        <v>561</v>
      </c>
      <c r="B29" s="44" t="s">
        <v>34</v>
      </c>
      <c r="C29" s="44" t="s">
        <v>4</v>
      </c>
      <c r="D29" s="74" t="s">
        <v>1136</v>
      </c>
      <c r="E29" s="31" t="s">
        <v>562</v>
      </c>
      <c r="F29" s="74" t="s">
        <v>1137</v>
      </c>
      <c r="G29" s="75" t="s">
        <v>563</v>
      </c>
      <c r="H29" s="43" t="s">
        <v>562</v>
      </c>
      <c r="I29" s="75" t="s">
        <v>1015</v>
      </c>
      <c r="J29" s="76" t="s">
        <v>291</v>
      </c>
      <c r="K29" s="13" t="s">
        <v>564</v>
      </c>
      <c r="L29" s="34" t="s">
        <v>195</v>
      </c>
      <c r="M29" s="106" t="s">
        <v>299</v>
      </c>
      <c r="N29" s="18" t="s">
        <v>565</v>
      </c>
      <c r="O29" s="35" t="s">
        <v>230</v>
      </c>
      <c r="P29" s="27" t="s">
        <v>309</v>
      </c>
      <c r="Q29" s="91" t="s">
        <v>566</v>
      </c>
      <c r="R29" s="79" t="s">
        <v>291</v>
      </c>
      <c r="S29" s="65" t="s">
        <v>567</v>
      </c>
      <c r="T29" s="92" t="s">
        <v>299</v>
      </c>
      <c r="U29" s="20" t="s">
        <v>411</v>
      </c>
      <c r="V29" s="88" t="s">
        <v>299</v>
      </c>
      <c r="W29" s="11" t="s">
        <v>411</v>
      </c>
      <c r="X29" s="28" t="s">
        <v>299</v>
      </c>
      <c r="Y29" s="65" t="s">
        <v>568</v>
      </c>
      <c r="Z29" s="37" t="s">
        <v>230</v>
      </c>
      <c r="AA29" s="54" t="s">
        <v>299</v>
      </c>
      <c r="AB29" s="83" t="s">
        <v>569</v>
      </c>
      <c r="AC29" s="84" t="s">
        <v>291</v>
      </c>
      <c r="AD29" s="85" t="s">
        <v>318</v>
      </c>
      <c r="AE29" s="82" t="s">
        <v>297</v>
      </c>
      <c r="AF29" s="83" t="s">
        <v>570</v>
      </c>
      <c r="AG29" s="84" t="s">
        <v>291</v>
      </c>
      <c r="AH29" s="85" t="s">
        <v>318</v>
      </c>
      <c r="AI29" s="69" t="s">
        <v>230</v>
      </c>
      <c r="AJ29" s="87" t="s">
        <v>297</v>
      </c>
      <c r="AK29" s="95" t="s">
        <v>1014</v>
      </c>
      <c r="AL29" s="93" t="s">
        <v>93</v>
      </c>
      <c r="AM29" s="14" t="s">
        <v>838</v>
      </c>
      <c r="AN29" s="89" t="s">
        <v>93</v>
      </c>
      <c r="AO29" s="95" t="s">
        <v>838</v>
      </c>
      <c r="AP29" s="34" t="s">
        <v>230</v>
      </c>
      <c r="AQ29" s="45" t="s">
        <v>230</v>
      </c>
      <c r="AR29" s="90" t="s">
        <v>571</v>
      </c>
    </row>
    <row r="30" spans="1:44" s="4" customFormat="1" ht="114.75" x14ac:dyDescent="0.25">
      <c r="A30" s="44" t="s">
        <v>46</v>
      </c>
      <c r="B30" s="44" t="s">
        <v>29</v>
      </c>
      <c r="C30" s="44" t="s">
        <v>4</v>
      </c>
      <c r="D30" s="74" t="s">
        <v>1071</v>
      </c>
      <c r="E30" s="31" t="s">
        <v>93</v>
      </c>
      <c r="F30" s="74" t="s">
        <v>1025</v>
      </c>
      <c r="G30" s="75" t="s">
        <v>573</v>
      </c>
      <c r="H30" s="31" t="s">
        <v>572</v>
      </c>
      <c r="I30" s="75" t="s">
        <v>1026</v>
      </c>
      <c r="J30" s="76" t="s">
        <v>291</v>
      </c>
      <c r="K30" s="13" t="s">
        <v>574</v>
      </c>
      <c r="L30" s="34" t="s">
        <v>195</v>
      </c>
      <c r="M30" s="17" t="s">
        <v>299</v>
      </c>
      <c r="N30" s="18" t="s">
        <v>575</v>
      </c>
      <c r="O30" s="35" t="s">
        <v>230</v>
      </c>
      <c r="P30" s="27" t="s">
        <v>93</v>
      </c>
      <c r="Q30" s="91" t="s">
        <v>1071</v>
      </c>
      <c r="R30" s="28" t="s">
        <v>93</v>
      </c>
      <c r="S30" s="65" t="s">
        <v>1071</v>
      </c>
      <c r="T30" s="80" t="s">
        <v>291</v>
      </c>
      <c r="U30" s="20" t="s">
        <v>576</v>
      </c>
      <c r="V30" s="81" t="s">
        <v>291</v>
      </c>
      <c r="W30" s="11" t="s">
        <v>576</v>
      </c>
      <c r="X30" s="121" t="s">
        <v>93</v>
      </c>
      <c r="Y30" s="65" t="s">
        <v>1072</v>
      </c>
      <c r="Z30" s="37" t="s">
        <v>93</v>
      </c>
      <c r="AA30" s="102" t="s">
        <v>93</v>
      </c>
      <c r="AB30" s="83" t="s">
        <v>1071</v>
      </c>
      <c r="AC30" s="120" t="s">
        <v>93</v>
      </c>
      <c r="AD30" s="85" t="s">
        <v>1071</v>
      </c>
      <c r="AE30" s="82" t="s">
        <v>297</v>
      </c>
      <c r="AF30" s="83" t="s">
        <v>577</v>
      </c>
      <c r="AG30" s="84" t="s">
        <v>291</v>
      </c>
      <c r="AH30" s="85" t="s">
        <v>318</v>
      </c>
      <c r="AI30" s="69" t="s">
        <v>93</v>
      </c>
      <c r="AJ30" s="89" t="s">
        <v>93</v>
      </c>
      <c r="AK30" s="19" t="s">
        <v>1072</v>
      </c>
      <c r="AL30" s="93" t="s">
        <v>93</v>
      </c>
      <c r="AM30" s="13" t="s">
        <v>1072</v>
      </c>
      <c r="AN30" s="95" t="s">
        <v>93</v>
      </c>
      <c r="AO30" s="19" t="s">
        <v>1072</v>
      </c>
      <c r="AP30" s="34" t="s">
        <v>93</v>
      </c>
      <c r="AQ30" s="45" t="s">
        <v>93</v>
      </c>
      <c r="AR30" s="90" t="s">
        <v>1073</v>
      </c>
    </row>
    <row r="31" spans="1:44" s="4" customFormat="1" ht="76.5" hidden="1" x14ac:dyDescent="0.25">
      <c r="A31" s="44" t="s">
        <v>88</v>
      </c>
      <c r="B31" s="44" t="s">
        <v>486</v>
      </c>
      <c r="C31" s="44" t="s">
        <v>4</v>
      </c>
      <c r="D31" s="109" t="s">
        <v>1158</v>
      </c>
      <c r="E31" s="31" t="s">
        <v>578</v>
      </c>
      <c r="F31" s="74" t="s">
        <v>1159</v>
      </c>
      <c r="G31" s="75" t="s">
        <v>579</v>
      </c>
      <c r="H31" s="43" t="s">
        <v>578</v>
      </c>
      <c r="I31" s="75" t="s">
        <v>580</v>
      </c>
      <c r="J31" s="76" t="s">
        <v>291</v>
      </c>
      <c r="K31" s="14" t="s">
        <v>581</v>
      </c>
      <c r="L31" s="34" t="s">
        <v>195</v>
      </c>
      <c r="M31" s="17" t="s">
        <v>299</v>
      </c>
      <c r="N31" s="17" t="s">
        <v>582</v>
      </c>
      <c r="O31" s="35" t="s">
        <v>230</v>
      </c>
      <c r="P31" s="27" t="s">
        <v>299</v>
      </c>
      <c r="Q31" s="91" t="s">
        <v>583</v>
      </c>
      <c r="R31" s="28" t="s">
        <v>299</v>
      </c>
      <c r="S31" s="65" t="s">
        <v>583</v>
      </c>
      <c r="T31" s="92" t="s">
        <v>309</v>
      </c>
      <c r="U31" s="20" t="s">
        <v>537</v>
      </c>
      <c r="V31" s="88" t="s">
        <v>519</v>
      </c>
      <c r="W31" s="11" t="s">
        <v>537</v>
      </c>
      <c r="X31" s="28" t="s">
        <v>295</v>
      </c>
      <c r="Y31" s="65" t="s">
        <v>584</v>
      </c>
      <c r="Z31" s="37" t="s">
        <v>230</v>
      </c>
      <c r="AA31" s="54" t="s">
        <v>585</v>
      </c>
      <c r="AB31" s="83" t="s">
        <v>586</v>
      </c>
      <c r="AC31" s="84" t="s">
        <v>291</v>
      </c>
      <c r="AD31" s="85" t="s">
        <v>318</v>
      </c>
      <c r="AE31" s="82" t="s">
        <v>297</v>
      </c>
      <c r="AF31" s="83" t="s">
        <v>586</v>
      </c>
      <c r="AG31" s="84" t="s">
        <v>291</v>
      </c>
      <c r="AH31" s="96" t="s">
        <v>581</v>
      </c>
      <c r="AI31" s="69" t="s">
        <v>195</v>
      </c>
      <c r="AJ31" s="117" t="s">
        <v>297</v>
      </c>
      <c r="AK31" s="116" t="s">
        <v>1032</v>
      </c>
      <c r="AL31" s="93" t="s">
        <v>93</v>
      </c>
      <c r="AM31" s="13" t="s">
        <v>838</v>
      </c>
      <c r="AN31" s="89" t="s">
        <v>93</v>
      </c>
      <c r="AO31" s="19" t="s">
        <v>838</v>
      </c>
      <c r="AP31" s="107" t="s">
        <v>230</v>
      </c>
      <c r="AQ31" s="45" t="s">
        <v>230</v>
      </c>
      <c r="AR31" s="73" t="s">
        <v>587</v>
      </c>
    </row>
    <row r="32" spans="1:44" s="4" customFormat="1" ht="127.5" hidden="1" x14ac:dyDescent="0.25">
      <c r="A32" s="44" t="s">
        <v>27</v>
      </c>
      <c r="B32" s="44" t="s">
        <v>28</v>
      </c>
      <c r="C32" s="44" t="s">
        <v>4</v>
      </c>
      <c r="D32" s="74" t="s">
        <v>1098</v>
      </c>
      <c r="E32" s="31" t="s">
        <v>588</v>
      </c>
      <c r="F32" s="74" t="s">
        <v>1099</v>
      </c>
      <c r="G32" s="75" t="s">
        <v>1016</v>
      </c>
      <c r="H32" s="31" t="s">
        <v>589</v>
      </c>
      <c r="I32" s="75" t="s">
        <v>1019</v>
      </c>
      <c r="J32" s="76" t="s">
        <v>291</v>
      </c>
      <c r="K32" s="13" t="s">
        <v>590</v>
      </c>
      <c r="L32" s="34" t="s">
        <v>195</v>
      </c>
      <c r="M32" s="17" t="s">
        <v>299</v>
      </c>
      <c r="N32" s="18" t="s">
        <v>591</v>
      </c>
      <c r="O32" s="35" t="s">
        <v>230</v>
      </c>
      <c r="P32" s="78" t="s">
        <v>291</v>
      </c>
      <c r="Q32" s="91" t="s">
        <v>592</v>
      </c>
      <c r="R32" s="79" t="s">
        <v>291</v>
      </c>
      <c r="S32" s="65" t="s">
        <v>593</v>
      </c>
      <c r="T32" s="92" t="s">
        <v>299</v>
      </c>
      <c r="U32" s="20" t="s">
        <v>594</v>
      </c>
      <c r="V32" s="88" t="s">
        <v>299</v>
      </c>
      <c r="W32" s="11" t="s">
        <v>594</v>
      </c>
      <c r="X32" s="79" t="s">
        <v>291</v>
      </c>
      <c r="Y32" s="65" t="s">
        <v>595</v>
      </c>
      <c r="Z32" s="37" t="s">
        <v>230</v>
      </c>
      <c r="AA32" s="82" t="s">
        <v>297</v>
      </c>
      <c r="AB32" s="83" t="s">
        <v>596</v>
      </c>
      <c r="AC32" s="84" t="s">
        <v>291</v>
      </c>
      <c r="AD32" s="85" t="s">
        <v>495</v>
      </c>
      <c r="AE32" s="54" t="s">
        <v>299</v>
      </c>
      <c r="AF32" s="83" t="s">
        <v>597</v>
      </c>
      <c r="AG32" s="84" t="s">
        <v>291</v>
      </c>
      <c r="AH32" s="85" t="s">
        <v>495</v>
      </c>
      <c r="AI32" s="69" t="s">
        <v>230</v>
      </c>
      <c r="AJ32" s="86" t="s">
        <v>291</v>
      </c>
      <c r="AK32" s="19" t="s">
        <v>1017</v>
      </c>
      <c r="AL32" s="76" t="s">
        <v>291</v>
      </c>
      <c r="AM32" s="13" t="s">
        <v>1018</v>
      </c>
      <c r="AN32" s="89" t="s">
        <v>93</v>
      </c>
      <c r="AO32" s="19" t="s">
        <v>893</v>
      </c>
      <c r="AP32" s="34" t="s">
        <v>195</v>
      </c>
      <c r="AQ32" s="71" t="s">
        <v>230</v>
      </c>
      <c r="AR32" s="73" t="s">
        <v>302</v>
      </c>
    </row>
    <row r="33" spans="1:44" s="4" customFormat="1" ht="127.5" hidden="1" x14ac:dyDescent="0.25">
      <c r="A33" s="44" t="s">
        <v>75</v>
      </c>
      <c r="B33" s="44" t="s">
        <v>32</v>
      </c>
      <c r="C33" s="44" t="s">
        <v>4</v>
      </c>
      <c r="D33" s="74" t="s">
        <v>1124</v>
      </c>
      <c r="E33" s="31" t="s">
        <v>598</v>
      </c>
      <c r="F33" s="74" t="s">
        <v>1126</v>
      </c>
      <c r="G33" s="75" t="s">
        <v>599</v>
      </c>
      <c r="H33" s="43" t="s">
        <v>598</v>
      </c>
      <c r="I33" s="75" t="s">
        <v>1010</v>
      </c>
      <c r="J33" s="76" t="s">
        <v>291</v>
      </c>
      <c r="K33" s="13" t="s">
        <v>1008</v>
      </c>
      <c r="L33" s="34" t="s">
        <v>195</v>
      </c>
      <c r="M33" s="17" t="s">
        <v>299</v>
      </c>
      <c r="N33" s="18" t="s">
        <v>600</v>
      </c>
      <c r="O33" s="35" t="s">
        <v>230</v>
      </c>
      <c r="P33" s="27" t="s">
        <v>309</v>
      </c>
      <c r="Q33" s="91" t="s">
        <v>601</v>
      </c>
      <c r="R33" s="28" t="s">
        <v>309</v>
      </c>
      <c r="S33" s="65" t="s">
        <v>602</v>
      </c>
      <c r="T33" s="92" t="s">
        <v>299</v>
      </c>
      <c r="U33" s="20" t="s">
        <v>504</v>
      </c>
      <c r="V33" s="88" t="s">
        <v>299</v>
      </c>
      <c r="W33" s="11" t="s">
        <v>504</v>
      </c>
      <c r="X33" s="79" t="s">
        <v>291</v>
      </c>
      <c r="Y33" s="65" t="s">
        <v>603</v>
      </c>
      <c r="Z33" s="37" t="s">
        <v>230</v>
      </c>
      <c r="AA33" s="54" t="s">
        <v>299</v>
      </c>
      <c r="AB33" s="83" t="s">
        <v>343</v>
      </c>
      <c r="AC33" s="84" t="s">
        <v>291</v>
      </c>
      <c r="AD33" s="85" t="s">
        <v>318</v>
      </c>
      <c r="AE33" s="82" t="s">
        <v>297</v>
      </c>
      <c r="AF33" s="83" t="s">
        <v>344</v>
      </c>
      <c r="AG33" s="84" t="s">
        <v>291</v>
      </c>
      <c r="AH33" s="85" t="s">
        <v>318</v>
      </c>
      <c r="AI33" s="69" t="s">
        <v>230</v>
      </c>
      <c r="AJ33" s="87" t="s">
        <v>297</v>
      </c>
      <c r="AK33" s="19" t="s">
        <v>1009</v>
      </c>
      <c r="AL33" s="93" t="s">
        <v>93</v>
      </c>
      <c r="AM33" s="14" t="s">
        <v>838</v>
      </c>
      <c r="AN33" s="89" t="s">
        <v>93</v>
      </c>
      <c r="AO33" s="95" t="s">
        <v>838</v>
      </c>
      <c r="AP33" s="34" t="s">
        <v>230</v>
      </c>
      <c r="AQ33" s="45" t="s">
        <v>230</v>
      </c>
      <c r="AR33" s="73" t="s">
        <v>379</v>
      </c>
    </row>
    <row r="34" spans="1:44" s="4" customFormat="1" ht="165.75" hidden="1" x14ac:dyDescent="0.25">
      <c r="A34" s="44" t="s">
        <v>68</v>
      </c>
      <c r="B34" s="44" t="s">
        <v>32</v>
      </c>
      <c r="C34" s="44" t="s">
        <v>4</v>
      </c>
      <c r="D34" s="74" t="s">
        <v>1111</v>
      </c>
      <c r="E34" s="31" t="s">
        <v>604</v>
      </c>
      <c r="F34" s="74" t="s">
        <v>1112</v>
      </c>
      <c r="G34" s="75" t="s">
        <v>605</v>
      </c>
      <c r="H34" s="43" t="s">
        <v>604</v>
      </c>
      <c r="I34" s="75" t="s">
        <v>606</v>
      </c>
      <c r="J34" s="94" t="s">
        <v>297</v>
      </c>
      <c r="K34" s="13" t="s">
        <v>920</v>
      </c>
      <c r="L34" s="34" t="s">
        <v>196</v>
      </c>
      <c r="M34" s="17" t="s">
        <v>299</v>
      </c>
      <c r="N34" s="18" t="s">
        <v>607</v>
      </c>
      <c r="O34" s="35" t="s">
        <v>230</v>
      </c>
      <c r="P34" s="78" t="s">
        <v>291</v>
      </c>
      <c r="Q34" s="91" t="s">
        <v>608</v>
      </c>
      <c r="R34" s="79" t="s">
        <v>291</v>
      </c>
      <c r="S34" s="65" t="s">
        <v>609</v>
      </c>
      <c r="T34" s="80" t="s">
        <v>364</v>
      </c>
      <c r="U34" s="20" t="s">
        <v>610</v>
      </c>
      <c r="V34" s="88" t="s">
        <v>309</v>
      </c>
      <c r="W34" s="11" t="s">
        <v>611</v>
      </c>
      <c r="X34" s="79" t="s">
        <v>291</v>
      </c>
      <c r="Y34" s="65" t="s">
        <v>612</v>
      </c>
      <c r="Z34" s="37" t="s">
        <v>195</v>
      </c>
      <c r="AA34" s="54" t="s">
        <v>299</v>
      </c>
      <c r="AB34" s="83" t="s">
        <v>613</v>
      </c>
      <c r="AC34" s="84" t="s">
        <v>291</v>
      </c>
      <c r="AD34" s="85" t="s">
        <v>301</v>
      </c>
      <c r="AE34" s="54" t="s">
        <v>299</v>
      </c>
      <c r="AF34" s="83" t="s">
        <v>614</v>
      </c>
      <c r="AG34" s="84" t="s">
        <v>291</v>
      </c>
      <c r="AH34" s="85" t="s">
        <v>301</v>
      </c>
      <c r="AI34" s="69" t="s">
        <v>230</v>
      </c>
      <c r="AJ34" s="87" t="s">
        <v>297</v>
      </c>
      <c r="AK34" s="19" t="s">
        <v>918</v>
      </c>
      <c r="AL34" s="93" t="s">
        <v>93</v>
      </c>
      <c r="AM34" s="13" t="s">
        <v>838</v>
      </c>
      <c r="AN34" s="89" t="s">
        <v>93</v>
      </c>
      <c r="AO34" s="19" t="s">
        <v>838</v>
      </c>
      <c r="AP34" s="34" t="s">
        <v>230</v>
      </c>
      <c r="AQ34" s="45" t="s">
        <v>196</v>
      </c>
      <c r="AR34" s="90" t="s">
        <v>919</v>
      </c>
    </row>
    <row r="35" spans="1:44" s="4" customFormat="1" ht="178.5" hidden="1" x14ac:dyDescent="0.25">
      <c r="A35" s="44" t="s">
        <v>67</v>
      </c>
      <c r="B35" s="44" t="s">
        <v>32</v>
      </c>
      <c r="C35" s="44" t="s">
        <v>4</v>
      </c>
      <c r="D35" s="74" t="s">
        <v>1121</v>
      </c>
      <c r="E35" s="31" t="s">
        <v>615</v>
      </c>
      <c r="F35" s="74" t="s">
        <v>1122</v>
      </c>
      <c r="G35" s="75" t="s">
        <v>964</v>
      </c>
      <c r="H35" s="31" t="s">
        <v>615</v>
      </c>
      <c r="I35" s="75" t="s">
        <v>965</v>
      </c>
      <c r="J35" s="76" t="s">
        <v>291</v>
      </c>
      <c r="K35" s="13" t="s">
        <v>616</v>
      </c>
      <c r="L35" s="34" t="s">
        <v>195</v>
      </c>
      <c r="M35" s="17" t="s">
        <v>299</v>
      </c>
      <c r="N35" s="17" t="s">
        <v>617</v>
      </c>
      <c r="O35" s="35" t="s">
        <v>230</v>
      </c>
      <c r="P35" s="27" t="s">
        <v>421</v>
      </c>
      <c r="Q35" s="91" t="s">
        <v>966</v>
      </c>
      <c r="R35" s="28" t="s">
        <v>309</v>
      </c>
      <c r="S35" s="65" t="s">
        <v>967</v>
      </c>
      <c r="T35" s="80" t="s">
        <v>291</v>
      </c>
      <c r="U35" s="114" t="s">
        <v>968</v>
      </c>
      <c r="V35" s="88" t="s">
        <v>309</v>
      </c>
      <c r="W35" s="11" t="s">
        <v>969</v>
      </c>
      <c r="X35" s="79" t="s">
        <v>291</v>
      </c>
      <c r="Y35" s="65" t="s">
        <v>970</v>
      </c>
      <c r="Z35" s="37" t="s">
        <v>195</v>
      </c>
      <c r="AA35" s="54" t="s">
        <v>299</v>
      </c>
      <c r="AB35" s="103" t="s">
        <v>971</v>
      </c>
      <c r="AC35" s="84" t="s">
        <v>291</v>
      </c>
      <c r="AD35" s="85" t="s">
        <v>618</v>
      </c>
      <c r="AE35" s="82" t="s">
        <v>297</v>
      </c>
      <c r="AF35" s="103" t="s">
        <v>972</v>
      </c>
      <c r="AG35" s="84" t="s">
        <v>291</v>
      </c>
      <c r="AH35" s="85" t="s">
        <v>618</v>
      </c>
      <c r="AI35" s="69" t="s">
        <v>230</v>
      </c>
      <c r="AJ35" s="86" t="s">
        <v>291</v>
      </c>
      <c r="AK35" s="19" t="s">
        <v>973</v>
      </c>
      <c r="AL35" s="76" t="s">
        <v>291</v>
      </c>
      <c r="AM35" s="111" t="s">
        <v>974</v>
      </c>
      <c r="AN35" s="89" t="s">
        <v>93</v>
      </c>
      <c r="AO35" s="19" t="s">
        <v>893</v>
      </c>
      <c r="AP35" s="34" t="s">
        <v>195</v>
      </c>
      <c r="AQ35" s="71" t="s">
        <v>230</v>
      </c>
      <c r="AR35" s="90" t="s">
        <v>975</v>
      </c>
    </row>
    <row r="36" spans="1:44" s="4" customFormat="1" ht="89.25" hidden="1" x14ac:dyDescent="0.25">
      <c r="A36" s="44" t="s">
        <v>56</v>
      </c>
      <c r="B36" s="44" t="s">
        <v>28</v>
      </c>
      <c r="C36" s="44" t="s">
        <v>4</v>
      </c>
      <c r="D36" s="75" t="s">
        <v>1078</v>
      </c>
      <c r="E36" s="43" t="s">
        <v>619</v>
      </c>
      <c r="F36" s="75" t="s">
        <v>1079</v>
      </c>
      <c r="G36" s="75" t="s">
        <v>620</v>
      </c>
      <c r="H36" s="31" t="s">
        <v>619</v>
      </c>
      <c r="I36" s="75" t="s">
        <v>621</v>
      </c>
      <c r="J36" s="94" t="s">
        <v>389</v>
      </c>
      <c r="K36" s="108" t="s">
        <v>622</v>
      </c>
      <c r="L36" s="34" t="s">
        <v>196</v>
      </c>
      <c r="M36" s="77" t="s">
        <v>291</v>
      </c>
      <c r="N36" s="18" t="s">
        <v>623</v>
      </c>
      <c r="O36" s="35" t="s">
        <v>195</v>
      </c>
      <c r="P36" s="78" t="s">
        <v>291</v>
      </c>
      <c r="Q36" s="91" t="s">
        <v>624</v>
      </c>
      <c r="R36" s="79" t="s">
        <v>291</v>
      </c>
      <c r="S36" s="65" t="s">
        <v>625</v>
      </c>
      <c r="T36" s="92" t="s">
        <v>299</v>
      </c>
      <c r="U36" s="20" t="s">
        <v>626</v>
      </c>
      <c r="V36" s="88" t="s">
        <v>299</v>
      </c>
      <c r="W36" s="11" t="s">
        <v>626</v>
      </c>
      <c r="X36" s="28" t="s">
        <v>299</v>
      </c>
      <c r="Y36" s="65" t="s">
        <v>627</v>
      </c>
      <c r="Z36" s="37" t="s">
        <v>230</v>
      </c>
      <c r="AA36" s="54" t="s">
        <v>299</v>
      </c>
      <c r="AB36" s="54" t="s">
        <v>341</v>
      </c>
      <c r="AC36" s="84" t="s">
        <v>291</v>
      </c>
      <c r="AD36" s="85" t="s">
        <v>318</v>
      </c>
      <c r="AE36" s="54" t="s">
        <v>299</v>
      </c>
      <c r="AF36" s="83" t="s">
        <v>628</v>
      </c>
      <c r="AG36" s="84" t="s">
        <v>291</v>
      </c>
      <c r="AH36" s="85" t="s">
        <v>318</v>
      </c>
      <c r="AI36" s="69" t="s">
        <v>230</v>
      </c>
      <c r="AJ36" s="87" t="s">
        <v>297</v>
      </c>
      <c r="AK36" s="19" t="s">
        <v>923</v>
      </c>
      <c r="AL36" s="14" t="s">
        <v>93</v>
      </c>
      <c r="AM36" s="13" t="s">
        <v>838</v>
      </c>
      <c r="AN36" s="95" t="s">
        <v>93</v>
      </c>
      <c r="AO36" s="19" t="s">
        <v>838</v>
      </c>
      <c r="AP36" s="34" t="s">
        <v>230</v>
      </c>
      <c r="AQ36" s="45" t="s">
        <v>196</v>
      </c>
      <c r="AR36" s="90" t="s">
        <v>629</v>
      </c>
    </row>
    <row r="37" spans="1:44" s="4" customFormat="1" ht="178.5" hidden="1" x14ac:dyDescent="0.25">
      <c r="A37" s="44" t="s">
        <v>630</v>
      </c>
      <c r="B37" s="44" t="s">
        <v>28</v>
      </c>
      <c r="C37" s="44" t="s">
        <v>4</v>
      </c>
      <c r="D37" s="74" t="s">
        <v>1076</v>
      </c>
      <c r="E37" s="31" t="s">
        <v>861</v>
      </c>
      <c r="F37" s="74" t="s">
        <v>1077</v>
      </c>
      <c r="G37" s="74" t="s">
        <v>862</v>
      </c>
      <c r="H37" s="31" t="s">
        <v>861</v>
      </c>
      <c r="I37" s="74" t="s">
        <v>863</v>
      </c>
      <c r="J37" s="76" t="s">
        <v>291</v>
      </c>
      <c r="K37" s="13" t="s">
        <v>631</v>
      </c>
      <c r="L37" s="34" t="s">
        <v>195</v>
      </c>
      <c r="M37" s="17" t="s">
        <v>299</v>
      </c>
      <c r="N37" s="18" t="s">
        <v>632</v>
      </c>
      <c r="O37" s="35" t="s">
        <v>230</v>
      </c>
      <c r="P37" s="27" t="s">
        <v>308</v>
      </c>
      <c r="Q37" s="91" t="s">
        <v>864</v>
      </c>
      <c r="R37" s="28" t="s">
        <v>308</v>
      </c>
      <c r="S37" s="65" t="s">
        <v>865</v>
      </c>
      <c r="T37" s="80" t="s">
        <v>291</v>
      </c>
      <c r="U37" s="20" t="s">
        <v>866</v>
      </c>
      <c r="V37" s="81" t="s">
        <v>291</v>
      </c>
      <c r="W37" s="11" t="s">
        <v>867</v>
      </c>
      <c r="X37" s="28" t="s">
        <v>299</v>
      </c>
      <c r="Y37" s="28" t="s">
        <v>341</v>
      </c>
      <c r="Z37" s="37" t="s">
        <v>196</v>
      </c>
      <c r="AA37" s="54" t="s">
        <v>299</v>
      </c>
      <c r="AB37" s="83" t="s">
        <v>868</v>
      </c>
      <c r="AC37" s="96" t="s">
        <v>299</v>
      </c>
      <c r="AD37" s="85" t="s">
        <v>869</v>
      </c>
      <c r="AE37" s="82" t="s">
        <v>297</v>
      </c>
      <c r="AF37" s="103" t="s">
        <v>870</v>
      </c>
      <c r="AG37" s="84" t="s">
        <v>291</v>
      </c>
      <c r="AH37" s="85" t="s">
        <v>618</v>
      </c>
      <c r="AI37" s="69" t="s">
        <v>230</v>
      </c>
      <c r="AJ37" s="87" t="s">
        <v>297</v>
      </c>
      <c r="AK37" s="19" t="s">
        <v>871</v>
      </c>
      <c r="AL37" s="93" t="s">
        <v>872</v>
      </c>
      <c r="AM37" s="13" t="s">
        <v>838</v>
      </c>
      <c r="AN37" s="89" t="s">
        <v>93</v>
      </c>
      <c r="AO37" s="19" t="s">
        <v>838</v>
      </c>
      <c r="AP37" s="34" t="s">
        <v>230</v>
      </c>
      <c r="AQ37" s="45" t="s">
        <v>196</v>
      </c>
      <c r="AR37" s="90" t="s">
        <v>873</v>
      </c>
    </row>
    <row r="38" spans="1:44" s="4" customFormat="1" ht="127.5" hidden="1" x14ac:dyDescent="0.25">
      <c r="A38" s="44" t="s">
        <v>633</v>
      </c>
      <c r="B38" s="44" t="s">
        <v>28</v>
      </c>
      <c r="C38" s="44" t="s">
        <v>4</v>
      </c>
      <c r="D38" s="74" t="s">
        <v>1076</v>
      </c>
      <c r="E38" s="31" t="s">
        <v>874</v>
      </c>
      <c r="F38" s="74" t="s">
        <v>1077</v>
      </c>
      <c r="G38" s="74" t="s">
        <v>862</v>
      </c>
      <c r="H38" s="31" t="s">
        <v>874</v>
      </c>
      <c r="I38" s="74" t="s">
        <v>863</v>
      </c>
      <c r="J38" s="76" t="s">
        <v>291</v>
      </c>
      <c r="K38" s="13" t="s">
        <v>631</v>
      </c>
      <c r="L38" s="34" t="s">
        <v>195</v>
      </c>
      <c r="M38" s="17" t="s">
        <v>299</v>
      </c>
      <c r="N38" s="18" t="s">
        <v>632</v>
      </c>
      <c r="O38" s="35" t="s">
        <v>230</v>
      </c>
      <c r="P38" s="27" t="s">
        <v>308</v>
      </c>
      <c r="Q38" s="91" t="s">
        <v>875</v>
      </c>
      <c r="R38" s="28" t="s">
        <v>309</v>
      </c>
      <c r="S38" s="65" t="s">
        <v>876</v>
      </c>
      <c r="T38" s="80" t="s">
        <v>291</v>
      </c>
      <c r="U38" s="20" t="s">
        <v>877</v>
      </c>
      <c r="V38" s="81" t="s">
        <v>364</v>
      </c>
      <c r="W38" s="11" t="s">
        <v>878</v>
      </c>
      <c r="X38" s="28" t="s">
        <v>299</v>
      </c>
      <c r="Y38" s="65" t="s">
        <v>520</v>
      </c>
      <c r="Z38" s="37" t="s">
        <v>196</v>
      </c>
      <c r="AA38" s="54" t="s">
        <v>299</v>
      </c>
      <c r="AB38" s="103" t="s">
        <v>879</v>
      </c>
      <c r="AC38" s="84" t="s">
        <v>291</v>
      </c>
      <c r="AD38" s="85" t="s">
        <v>618</v>
      </c>
      <c r="AE38" s="54" t="s">
        <v>299</v>
      </c>
      <c r="AF38" s="103" t="s">
        <v>880</v>
      </c>
      <c r="AG38" s="84" t="s">
        <v>291</v>
      </c>
      <c r="AH38" s="85" t="s">
        <v>618</v>
      </c>
      <c r="AI38" s="69" t="s">
        <v>230</v>
      </c>
      <c r="AJ38" s="87" t="s">
        <v>297</v>
      </c>
      <c r="AK38" s="19" t="s">
        <v>881</v>
      </c>
      <c r="AL38" s="93" t="s">
        <v>872</v>
      </c>
      <c r="AM38" s="13" t="s">
        <v>838</v>
      </c>
      <c r="AN38" s="89" t="s">
        <v>93</v>
      </c>
      <c r="AO38" s="19" t="s">
        <v>838</v>
      </c>
      <c r="AP38" s="34" t="s">
        <v>230</v>
      </c>
      <c r="AQ38" s="45" t="s">
        <v>196</v>
      </c>
      <c r="AR38" s="90" t="s">
        <v>882</v>
      </c>
    </row>
    <row r="39" spans="1:44" s="4" customFormat="1" ht="102" hidden="1" x14ac:dyDescent="0.25">
      <c r="A39" s="44" t="s">
        <v>82</v>
      </c>
      <c r="B39" s="44" t="s">
        <v>36</v>
      </c>
      <c r="C39" s="44" t="s">
        <v>4</v>
      </c>
      <c r="D39" s="74" t="s">
        <v>1146</v>
      </c>
      <c r="E39" s="31" t="s">
        <v>634</v>
      </c>
      <c r="F39" s="74" t="s">
        <v>1147</v>
      </c>
      <c r="G39" s="75" t="s">
        <v>635</v>
      </c>
      <c r="H39" s="43" t="s">
        <v>634</v>
      </c>
      <c r="I39" s="75" t="s">
        <v>1038</v>
      </c>
      <c r="J39" s="76" t="s">
        <v>291</v>
      </c>
      <c r="K39" s="13" t="s">
        <v>636</v>
      </c>
      <c r="L39" s="34" t="s">
        <v>195</v>
      </c>
      <c r="M39" s="17" t="s">
        <v>299</v>
      </c>
      <c r="N39" s="18" t="s">
        <v>637</v>
      </c>
      <c r="O39" s="35" t="s">
        <v>230</v>
      </c>
      <c r="P39" s="78" t="s">
        <v>291</v>
      </c>
      <c r="Q39" s="91" t="s">
        <v>638</v>
      </c>
      <c r="R39" s="28" t="s">
        <v>309</v>
      </c>
      <c r="S39" s="65" t="s">
        <v>639</v>
      </c>
      <c r="T39" s="92" t="s">
        <v>299</v>
      </c>
      <c r="U39" s="20" t="s">
        <v>640</v>
      </c>
      <c r="V39" s="88" t="s">
        <v>299</v>
      </c>
      <c r="W39" s="11" t="s">
        <v>640</v>
      </c>
      <c r="X39" s="28" t="s">
        <v>299</v>
      </c>
      <c r="Y39" s="28" t="s">
        <v>520</v>
      </c>
      <c r="Z39" s="37" t="s">
        <v>230</v>
      </c>
      <c r="AA39" s="82" t="s">
        <v>297</v>
      </c>
      <c r="AB39" s="83" t="s">
        <v>849</v>
      </c>
      <c r="AC39" s="84" t="s">
        <v>291</v>
      </c>
      <c r="AD39" s="96" t="s">
        <v>356</v>
      </c>
      <c r="AE39" s="82" t="s">
        <v>297</v>
      </c>
      <c r="AF39" s="83" t="s">
        <v>641</v>
      </c>
      <c r="AG39" s="84" t="s">
        <v>291</v>
      </c>
      <c r="AH39" s="96" t="s">
        <v>507</v>
      </c>
      <c r="AI39" s="69" t="s">
        <v>195</v>
      </c>
      <c r="AJ39" s="87" t="s">
        <v>297</v>
      </c>
      <c r="AK39" s="19" t="s">
        <v>1039</v>
      </c>
      <c r="AL39" s="93" t="s">
        <v>93</v>
      </c>
      <c r="AM39" s="13" t="s">
        <v>838</v>
      </c>
      <c r="AN39" s="89" t="s">
        <v>93</v>
      </c>
      <c r="AO39" s="19" t="s">
        <v>838</v>
      </c>
      <c r="AP39" s="34" t="s">
        <v>230</v>
      </c>
      <c r="AQ39" s="71" t="s">
        <v>230</v>
      </c>
      <c r="AR39" s="90" t="s">
        <v>302</v>
      </c>
    </row>
    <row r="40" spans="1:44" s="4" customFormat="1" ht="140.25" hidden="1" x14ac:dyDescent="0.25">
      <c r="A40" s="44" t="s">
        <v>642</v>
      </c>
      <c r="B40" s="44" t="s">
        <v>36</v>
      </c>
      <c r="C40" s="44" t="s">
        <v>4</v>
      </c>
      <c r="D40" s="74" t="s">
        <v>1148</v>
      </c>
      <c r="E40" s="31" t="s">
        <v>643</v>
      </c>
      <c r="F40" s="74" t="s">
        <v>1149</v>
      </c>
      <c r="G40" s="75" t="s">
        <v>644</v>
      </c>
      <c r="H40" s="43" t="s">
        <v>643</v>
      </c>
      <c r="I40" s="75" t="s">
        <v>290</v>
      </c>
      <c r="J40" s="14" t="s">
        <v>299</v>
      </c>
      <c r="K40" s="13" t="s">
        <v>645</v>
      </c>
      <c r="L40" s="34" t="s">
        <v>230</v>
      </c>
      <c r="M40" s="17" t="s">
        <v>299</v>
      </c>
      <c r="N40" s="18" t="s">
        <v>646</v>
      </c>
      <c r="O40" s="35" t="s">
        <v>230</v>
      </c>
      <c r="P40" s="27" t="s">
        <v>309</v>
      </c>
      <c r="Q40" s="91" t="s">
        <v>647</v>
      </c>
      <c r="R40" s="28" t="s">
        <v>308</v>
      </c>
      <c r="S40" s="65" t="s">
        <v>648</v>
      </c>
      <c r="T40" s="92" t="s">
        <v>299</v>
      </c>
      <c r="U40" s="20" t="s">
        <v>649</v>
      </c>
      <c r="V40" s="88" t="s">
        <v>299</v>
      </c>
      <c r="W40" s="11" t="s">
        <v>649</v>
      </c>
      <c r="X40" s="28" t="s">
        <v>299</v>
      </c>
      <c r="Y40" s="28" t="s">
        <v>520</v>
      </c>
      <c r="Z40" s="37" t="s">
        <v>196</v>
      </c>
      <c r="AA40" s="54" t="s">
        <v>299</v>
      </c>
      <c r="AB40" s="83" t="s">
        <v>650</v>
      </c>
      <c r="AC40" s="84" t="s">
        <v>291</v>
      </c>
      <c r="AD40" s="85" t="s">
        <v>651</v>
      </c>
      <c r="AE40" s="54" t="s">
        <v>299</v>
      </c>
      <c r="AF40" s="83" t="s">
        <v>650</v>
      </c>
      <c r="AG40" s="84" t="s">
        <v>291</v>
      </c>
      <c r="AH40" s="85" t="s">
        <v>651</v>
      </c>
      <c r="AI40" s="69" t="s">
        <v>230</v>
      </c>
      <c r="AJ40" s="87" t="s">
        <v>297</v>
      </c>
      <c r="AK40" s="19" t="s">
        <v>848</v>
      </c>
      <c r="AL40" s="14" t="s">
        <v>93</v>
      </c>
      <c r="AM40" s="13" t="s">
        <v>838</v>
      </c>
      <c r="AN40" s="95" t="s">
        <v>93</v>
      </c>
      <c r="AO40" s="19" t="s">
        <v>838</v>
      </c>
      <c r="AP40" s="34" t="s">
        <v>230</v>
      </c>
      <c r="AQ40" s="45" t="s">
        <v>196</v>
      </c>
      <c r="AR40" s="90" t="s">
        <v>652</v>
      </c>
    </row>
    <row r="41" spans="1:44" s="4" customFormat="1" ht="165.75" x14ac:dyDescent="0.25">
      <c r="A41" s="44" t="s">
        <v>40</v>
      </c>
      <c r="B41" s="44" t="s">
        <v>29</v>
      </c>
      <c r="C41" s="44" t="s">
        <v>4</v>
      </c>
      <c r="D41" s="74" t="s">
        <v>1055</v>
      </c>
      <c r="E41" s="31" t="s">
        <v>653</v>
      </c>
      <c r="F41" s="74" t="s">
        <v>1057</v>
      </c>
      <c r="G41" s="75" t="s">
        <v>654</v>
      </c>
      <c r="H41" s="43" t="s">
        <v>655</v>
      </c>
      <c r="I41" s="75" t="s">
        <v>656</v>
      </c>
      <c r="J41" s="14" t="s">
        <v>299</v>
      </c>
      <c r="K41" s="13" t="s">
        <v>851</v>
      </c>
      <c r="L41" s="34" t="s">
        <v>230</v>
      </c>
      <c r="M41" s="106" t="s">
        <v>299</v>
      </c>
      <c r="N41" s="112" t="s">
        <v>852</v>
      </c>
      <c r="O41" s="35" t="s">
        <v>230</v>
      </c>
      <c r="P41" s="27" t="s">
        <v>308</v>
      </c>
      <c r="Q41" s="91" t="s">
        <v>856</v>
      </c>
      <c r="R41" s="28" t="s">
        <v>309</v>
      </c>
      <c r="S41" s="65" t="s">
        <v>857</v>
      </c>
      <c r="T41" s="92" t="s">
        <v>299</v>
      </c>
      <c r="U41" s="20" t="s">
        <v>657</v>
      </c>
      <c r="V41" s="88" t="s">
        <v>299</v>
      </c>
      <c r="W41" s="11" t="s">
        <v>411</v>
      </c>
      <c r="X41" s="28" t="s">
        <v>299</v>
      </c>
      <c r="Y41" s="65" t="s">
        <v>658</v>
      </c>
      <c r="Z41" s="37" t="s">
        <v>196</v>
      </c>
      <c r="AA41" s="54" t="s">
        <v>299</v>
      </c>
      <c r="AB41" s="83" t="s">
        <v>659</v>
      </c>
      <c r="AC41" s="84" t="s">
        <v>291</v>
      </c>
      <c r="AD41" s="85" t="s">
        <v>318</v>
      </c>
      <c r="AE41" s="54" t="s">
        <v>299</v>
      </c>
      <c r="AF41" s="83" t="s">
        <v>660</v>
      </c>
      <c r="AG41" s="84" t="s">
        <v>291</v>
      </c>
      <c r="AH41" s="85" t="s">
        <v>318</v>
      </c>
      <c r="AI41" s="69" t="s">
        <v>230</v>
      </c>
      <c r="AJ41" s="86" t="s">
        <v>291</v>
      </c>
      <c r="AK41" s="19" t="s">
        <v>853</v>
      </c>
      <c r="AL41" s="14" t="s">
        <v>299</v>
      </c>
      <c r="AM41" s="13" t="s">
        <v>854</v>
      </c>
      <c r="AN41" s="89" t="s">
        <v>93</v>
      </c>
      <c r="AO41" s="95" t="s">
        <v>858</v>
      </c>
      <c r="AP41" s="34" t="s">
        <v>230</v>
      </c>
      <c r="AQ41" s="45" t="s">
        <v>196</v>
      </c>
      <c r="AR41" s="90" t="s">
        <v>855</v>
      </c>
    </row>
    <row r="42" spans="1:44" s="4" customFormat="1" ht="165.75" x14ac:dyDescent="0.25">
      <c r="A42" s="44" t="s">
        <v>39</v>
      </c>
      <c r="B42" s="44" t="s">
        <v>29</v>
      </c>
      <c r="C42" s="44" t="s">
        <v>4</v>
      </c>
      <c r="D42" s="74" t="s">
        <v>1056</v>
      </c>
      <c r="E42" s="31" t="s">
        <v>661</v>
      </c>
      <c r="F42" s="74" t="s">
        <v>1058</v>
      </c>
      <c r="G42" s="75" t="s">
        <v>662</v>
      </c>
      <c r="H42" s="43" t="s">
        <v>661</v>
      </c>
      <c r="I42" s="75" t="s">
        <v>663</v>
      </c>
      <c r="J42" s="76" t="s">
        <v>291</v>
      </c>
      <c r="K42" s="13" t="s">
        <v>664</v>
      </c>
      <c r="L42" s="34" t="s">
        <v>195</v>
      </c>
      <c r="M42" s="17" t="s">
        <v>299</v>
      </c>
      <c r="N42" s="18" t="s">
        <v>665</v>
      </c>
      <c r="O42" s="35" t="s">
        <v>230</v>
      </c>
      <c r="P42" s="78" t="s">
        <v>291</v>
      </c>
      <c r="Q42" s="91" t="s">
        <v>666</v>
      </c>
      <c r="R42" s="79" t="s">
        <v>291</v>
      </c>
      <c r="S42" s="65" t="s">
        <v>667</v>
      </c>
      <c r="T42" s="80" t="s">
        <v>291</v>
      </c>
      <c r="U42" s="20" t="s">
        <v>668</v>
      </c>
      <c r="V42" s="81" t="s">
        <v>291</v>
      </c>
      <c r="W42" s="11" t="s">
        <v>669</v>
      </c>
      <c r="X42" s="79" t="s">
        <v>291</v>
      </c>
      <c r="Y42" s="65" t="s">
        <v>670</v>
      </c>
      <c r="Z42" s="37" t="s">
        <v>195</v>
      </c>
      <c r="AA42" s="82" t="s">
        <v>297</v>
      </c>
      <c r="AB42" s="83" t="s">
        <v>671</v>
      </c>
      <c r="AC42" s="84" t="s">
        <v>291</v>
      </c>
      <c r="AD42" s="85" t="s">
        <v>318</v>
      </c>
      <c r="AE42" s="82" t="s">
        <v>297</v>
      </c>
      <c r="AF42" s="83" t="s">
        <v>672</v>
      </c>
      <c r="AG42" s="84" t="s">
        <v>291</v>
      </c>
      <c r="AH42" s="85" t="s">
        <v>318</v>
      </c>
      <c r="AI42" s="69" t="s">
        <v>195</v>
      </c>
      <c r="AJ42" s="87" t="s">
        <v>297</v>
      </c>
      <c r="AK42" s="19" t="s">
        <v>887</v>
      </c>
      <c r="AL42" s="93" t="s">
        <v>93</v>
      </c>
      <c r="AM42" s="13" t="s">
        <v>838</v>
      </c>
      <c r="AN42" s="89" t="s">
        <v>93</v>
      </c>
      <c r="AO42" s="19" t="s">
        <v>838</v>
      </c>
      <c r="AP42" s="34" t="s">
        <v>230</v>
      </c>
      <c r="AQ42" s="45" t="s">
        <v>230</v>
      </c>
      <c r="AR42" s="73" t="s">
        <v>302</v>
      </c>
    </row>
    <row r="43" spans="1:44" s="4" customFormat="1" ht="130.5" hidden="1" customHeight="1" x14ac:dyDescent="0.25">
      <c r="A43" s="44" t="s">
        <v>51</v>
      </c>
      <c r="B43" s="44" t="s">
        <v>28</v>
      </c>
      <c r="C43" s="44" t="s">
        <v>4</v>
      </c>
      <c r="D43" s="74" t="s">
        <v>1080</v>
      </c>
      <c r="E43" s="31" t="s">
        <v>673</v>
      </c>
      <c r="F43" s="74" t="s">
        <v>1081</v>
      </c>
      <c r="G43" s="75" t="s">
        <v>839</v>
      </c>
      <c r="H43" s="43" t="s">
        <v>674</v>
      </c>
      <c r="I43" s="75" t="s">
        <v>840</v>
      </c>
      <c r="J43" s="14" t="s">
        <v>299</v>
      </c>
      <c r="K43" s="13" t="s">
        <v>841</v>
      </c>
      <c r="L43" s="34" t="s">
        <v>230</v>
      </c>
      <c r="M43" s="17" t="s">
        <v>299</v>
      </c>
      <c r="N43" s="18" t="s">
        <v>403</v>
      </c>
      <c r="O43" s="35" t="s">
        <v>230</v>
      </c>
      <c r="P43" s="27" t="s">
        <v>308</v>
      </c>
      <c r="Q43" s="91" t="s">
        <v>675</v>
      </c>
      <c r="R43" s="79" t="s">
        <v>291</v>
      </c>
      <c r="S43" s="65" t="s">
        <v>676</v>
      </c>
      <c r="T43" s="92" t="s">
        <v>299</v>
      </c>
      <c r="U43" s="20" t="s">
        <v>677</v>
      </c>
      <c r="V43" s="88" t="s">
        <v>299</v>
      </c>
      <c r="W43" s="11" t="s">
        <v>677</v>
      </c>
      <c r="X43" s="28" t="s">
        <v>299</v>
      </c>
      <c r="Y43" s="28" t="s">
        <v>678</v>
      </c>
      <c r="Z43" s="37" t="s">
        <v>196</v>
      </c>
      <c r="AA43" s="54" t="s">
        <v>299</v>
      </c>
      <c r="AB43" s="83" t="s">
        <v>679</v>
      </c>
      <c r="AC43" s="84" t="s">
        <v>291</v>
      </c>
      <c r="AD43" s="85" t="s">
        <v>495</v>
      </c>
      <c r="AE43" s="82" t="s">
        <v>297</v>
      </c>
      <c r="AF43" s="83" t="s">
        <v>680</v>
      </c>
      <c r="AG43" s="84" t="s">
        <v>291</v>
      </c>
      <c r="AH43" s="85" t="s">
        <v>495</v>
      </c>
      <c r="AI43" s="69" t="s">
        <v>230</v>
      </c>
      <c r="AJ43" s="86" t="s">
        <v>291</v>
      </c>
      <c r="AK43" s="19" t="s">
        <v>842</v>
      </c>
      <c r="AL43" s="94" t="s">
        <v>297</v>
      </c>
      <c r="AM43" s="13" t="s">
        <v>843</v>
      </c>
      <c r="AN43" s="86" t="s">
        <v>291</v>
      </c>
      <c r="AO43" s="19" t="s">
        <v>844</v>
      </c>
      <c r="AP43" s="34" t="s">
        <v>230</v>
      </c>
      <c r="AQ43" s="45" t="s">
        <v>196</v>
      </c>
      <c r="AR43" s="90" t="s">
        <v>845</v>
      </c>
    </row>
    <row r="44" spans="1:44" s="4" customFormat="1" ht="114.75" x14ac:dyDescent="0.25">
      <c r="A44" s="44" t="s">
        <v>52</v>
      </c>
      <c r="B44" s="44" t="s">
        <v>29</v>
      </c>
      <c r="C44" s="44" t="s">
        <v>4</v>
      </c>
      <c r="D44" s="74" t="s">
        <v>1059</v>
      </c>
      <c r="E44" s="31" t="s">
        <v>681</v>
      </c>
      <c r="F44" s="74" t="s">
        <v>1060</v>
      </c>
      <c r="G44" s="75" t="s">
        <v>682</v>
      </c>
      <c r="H44" s="43" t="s">
        <v>681</v>
      </c>
      <c r="I44" s="75" t="s">
        <v>683</v>
      </c>
      <c r="J44" s="14" t="s">
        <v>299</v>
      </c>
      <c r="K44" s="13" t="s">
        <v>684</v>
      </c>
      <c r="L44" s="34" t="s">
        <v>230</v>
      </c>
      <c r="M44" s="17" t="s">
        <v>299</v>
      </c>
      <c r="N44" s="18" t="s">
        <v>685</v>
      </c>
      <c r="O44" s="35" t="s">
        <v>230</v>
      </c>
      <c r="P44" s="78" t="s">
        <v>291</v>
      </c>
      <c r="Q44" s="91" t="s">
        <v>686</v>
      </c>
      <c r="R44" s="79" t="s">
        <v>291</v>
      </c>
      <c r="S44" s="65" t="s">
        <v>686</v>
      </c>
      <c r="T44" s="80" t="s">
        <v>291</v>
      </c>
      <c r="U44" s="20" t="s">
        <v>687</v>
      </c>
      <c r="V44" s="81" t="s">
        <v>291</v>
      </c>
      <c r="W44" s="11" t="s">
        <v>688</v>
      </c>
      <c r="X44" s="79" t="s">
        <v>291</v>
      </c>
      <c r="Y44" s="65" t="s">
        <v>689</v>
      </c>
      <c r="Z44" s="37" t="s">
        <v>195</v>
      </c>
      <c r="AA44" s="54" t="s">
        <v>299</v>
      </c>
      <c r="AB44" s="83" t="s">
        <v>690</v>
      </c>
      <c r="AC44" s="84" t="s">
        <v>291</v>
      </c>
      <c r="AD44" s="85" t="s">
        <v>318</v>
      </c>
      <c r="AE44" s="54" t="s">
        <v>299</v>
      </c>
      <c r="AF44" s="83" t="s">
        <v>691</v>
      </c>
      <c r="AG44" s="84" t="s">
        <v>291</v>
      </c>
      <c r="AH44" s="85" t="s">
        <v>318</v>
      </c>
      <c r="AI44" s="69" t="s">
        <v>230</v>
      </c>
      <c r="AJ44" s="87" t="s">
        <v>297</v>
      </c>
      <c r="AK44" s="19" t="s">
        <v>850</v>
      </c>
      <c r="AL44" s="93" t="s">
        <v>93</v>
      </c>
      <c r="AM44" s="13" t="s">
        <v>838</v>
      </c>
      <c r="AN44" s="89" t="s">
        <v>93</v>
      </c>
      <c r="AO44" s="95" t="s">
        <v>838</v>
      </c>
      <c r="AP44" s="34" t="s">
        <v>230</v>
      </c>
      <c r="AQ44" s="45" t="s">
        <v>230</v>
      </c>
      <c r="AR44" s="73" t="s">
        <v>302</v>
      </c>
    </row>
    <row r="45" spans="1:44" s="4" customFormat="1" ht="229.5" hidden="1" x14ac:dyDescent="0.25">
      <c r="A45" s="44" t="s">
        <v>57</v>
      </c>
      <c r="B45" s="44" t="s">
        <v>28</v>
      </c>
      <c r="C45" s="44" t="s">
        <v>4</v>
      </c>
      <c r="D45" s="74" t="s">
        <v>1082</v>
      </c>
      <c r="E45" s="31" t="s">
        <v>692</v>
      </c>
      <c r="F45" s="74" t="s">
        <v>1083</v>
      </c>
      <c r="G45" s="75" t="s">
        <v>948</v>
      </c>
      <c r="H45" s="75" t="s">
        <v>949</v>
      </c>
      <c r="I45" s="75" t="s">
        <v>950</v>
      </c>
      <c r="J45" s="76" t="s">
        <v>291</v>
      </c>
      <c r="K45" s="13" t="s">
        <v>693</v>
      </c>
      <c r="L45" s="34" t="s">
        <v>195</v>
      </c>
      <c r="M45" s="17" t="s">
        <v>299</v>
      </c>
      <c r="N45" s="18" t="s">
        <v>694</v>
      </c>
      <c r="O45" s="35" t="s">
        <v>230</v>
      </c>
      <c r="P45" s="27" t="s">
        <v>308</v>
      </c>
      <c r="Q45" s="91" t="s">
        <v>695</v>
      </c>
      <c r="R45" s="79" t="s">
        <v>291</v>
      </c>
      <c r="S45" s="65" t="s">
        <v>696</v>
      </c>
      <c r="T45" s="92" t="s">
        <v>309</v>
      </c>
      <c r="U45" s="20" t="s">
        <v>951</v>
      </c>
      <c r="V45" s="81" t="s">
        <v>291</v>
      </c>
      <c r="W45" s="11" t="s">
        <v>951</v>
      </c>
      <c r="X45" s="79" t="s">
        <v>291</v>
      </c>
      <c r="Y45" s="65" t="s">
        <v>697</v>
      </c>
      <c r="Z45" s="37" t="s">
        <v>196</v>
      </c>
      <c r="AA45" s="82" t="s">
        <v>297</v>
      </c>
      <c r="AB45" s="83" t="s">
        <v>698</v>
      </c>
      <c r="AC45" s="84" t="s">
        <v>291</v>
      </c>
      <c r="AD45" s="85" t="s">
        <v>318</v>
      </c>
      <c r="AE45" s="54" t="s">
        <v>299</v>
      </c>
      <c r="AF45" s="103" t="s">
        <v>952</v>
      </c>
      <c r="AG45" s="84" t="s">
        <v>291</v>
      </c>
      <c r="AH45" s="85" t="s">
        <v>318</v>
      </c>
      <c r="AI45" s="69" t="s">
        <v>230</v>
      </c>
      <c r="AJ45" s="86" t="s">
        <v>291</v>
      </c>
      <c r="AK45" s="19" t="s">
        <v>953</v>
      </c>
      <c r="AL45" s="14" t="s">
        <v>299</v>
      </c>
      <c r="AM45" s="13" t="s">
        <v>954</v>
      </c>
      <c r="AN45" s="89" t="s">
        <v>93</v>
      </c>
      <c r="AO45" s="19" t="s">
        <v>955</v>
      </c>
      <c r="AP45" s="34" t="s">
        <v>230</v>
      </c>
      <c r="AQ45" s="45" t="s">
        <v>196</v>
      </c>
      <c r="AR45" s="90" t="s">
        <v>699</v>
      </c>
    </row>
    <row r="46" spans="1:44" s="4" customFormat="1" ht="102" hidden="1" x14ac:dyDescent="0.25">
      <c r="A46" s="44" t="s">
        <v>69</v>
      </c>
      <c r="B46" s="44" t="s">
        <v>32</v>
      </c>
      <c r="C46" s="44" t="s">
        <v>4</v>
      </c>
      <c r="D46" s="74" t="s">
        <v>1115</v>
      </c>
      <c r="E46" s="31" t="s">
        <v>709</v>
      </c>
      <c r="F46" s="74" t="s">
        <v>1116</v>
      </c>
      <c r="G46" s="75" t="s">
        <v>700</v>
      </c>
      <c r="H46" s="43" t="s">
        <v>709</v>
      </c>
      <c r="I46" s="75" t="s">
        <v>701</v>
      </c>
      <c r="J46" s="76" t="s">
        <v>291</v>
      </c>
      <c r="K46" s="13" t="s">
        <v>956</v>
      </c>
      <c r="L46" s="34" t="s">
        <v>195</v>
      </c>
      <c r="M46" s="17" t="s">
        <v>299</v>
      </c>
      <c r="N46" s="18" t="s">
        <v>702</v>
      </c>
      <c r="O46" s="35" t="s">
        <v>230</v>
      </c>
      <c r="P46" s="27" t="s">
        <v>308</v>
      </c>
      <c r="Q46" s="91" t="s">
        <v>703</v>
      </c>
      <c r="R46" s="28" t="s">
        <v>308</v>
      </c>
      <c r="S46" s="65" t="s">
        <v>704</v>
      </c>
      <c r="T46" s="80" t="s">
        <v>291</v>
      </c>
      <c r="U46" s="20" t="s">
        <v>705</v>
      </c>
      <c r="V46" s="88" t="s">
        <v>309</v>
      </c>
      <c r="W46" s="11" t="s">
        <v>705</v>
      </c>
      <c r="X46" s="28" t="s">
        <v>299</v>
      </c>
      <c r="Y46" s="28" t="s">
        <v>520</v>
      </c>
      <c r="Z46" s="37" t="s">
        <v>196</v>
      </c>
      <c r="AA46" s="54" t="s">
        <v>299</v>
      </c>
      <c r="AB46" s="83" t="s">
        <v>957</v>
      </c>
      <c r="AC46" s="84" t="s">
        <v>291</v>
      </c>
      <c r="AD46" s="85" t="s">
        <v>706</v>
      </c>
      <c r="AE46" s="54" t="s">
        <v>299</v>
      </c>
      <c r="AF46" s="83" t="s">
        <v>707</v>
      </c>
      <c r="AG46" s="105" t="s">
        <v>291</v>
      </c>
      <c r="AH46" s="85" t="s">
        <v>301</v>
      </c>
      <c r="AI46" s="69" t="s">
        <v>230</v>
      </c>
      <c r="AJ46" s="86" t="s">
        <v>291</v>
      </c>
      <c r="AK46" s="19" t="s">
        <v>958</v>
      </c>
      <c r="AL46" s="14" t="s">
        <v>299</v>
      </c>
      <c r="AM46" s="13" t="s">
        <v>959</v>
      </c>
      <c r="AN46" s="89" t="s">
        <v>93</v>
      </c>
      <c r="AO46" s="19" t="s">
        <v>858</v>
      </c>
      <c r="AP46" s="34" t="s">
        <v>230</v>
      </c>
      <c r="AQ46" s="45" t="s">
        <v>196</v>
      </c>
      <c r="AR46" s="73" t="s">
        <v>708</v>
      </c>
    </row>
    <row r="47" spans="1:44" s="4" customFormat="1" ht="204" hidden="1" x14ac:dyDescent="0.25">
      <c r="A47" s="44" t="s">
        <v>710</v>
      </c>
      <c r="B47" s="44" t="s">
        <v>28</v>
      </c>
      <c r="C47" s="44" t="s">
        <v>4</v>
      </c>
      <c r="D47" s="74" t="s">
        <v>1084</v>
      </c>
      <c r="E47" s="31" t="s">
        <v>711</v>
      </c>
      <c r="F47" s="74" t="s">
        <v>1085</v>
      </c>
      <c r="G47" s="74" t="s">
        <v>712</v>
      </c>
      <c r="H47" s="31" t="s">
        <v>711</v>
      </c>
      <c r="I47" s="75" t="s">
        <v>713</v>
      </c>
      <c r="J47" s="76" t="s">
        <v>291</v>
      </c>
      <c r="K47" s="13" t="s">
        <v>714</v>
      </c>
      <c r="L47" s="34" t="s">
        <v>195</v>
      </c>
      <c r="M47" s="77" t="s">
        <v>291</v>
      </c>
      <c r="N47" s="18" t="s">
        <v>715</v>
      </c>
      <c r="O47" s="35" t="s">
        <v>195</v>
      </c>
      <c r="P47" s="78" t="s">
        <v>291</v>
      </c>
      <c r="Q47" s="91" t="s">
        <v>716</v>
      </c>
      <c r="R47" s="79" t="s">
        <v>291</v>
      </c>
      <c r="S47" s="65" t="s">
        <v>717</v>
      </c>
      <c r="T47" s="80" t="s">
        <v>291</v>
      </c>
      <c r="U47" s="20" t="s">
        <v>718</v>
      </c>
      <c r="V47" s="88" t="s">
        <v>309</v>
      </c>
      <c r="W47" s="11" t="s">
        <v>719</v>
      </c>
      <c r="X47" s="28" t="s">
        <v>299</v>
      </c>
      <c r="Y47" s="65" t="s">
        <v>846</v>
      </c>
      <c r="Z47" s="37" t="s">
        <v>230</v>
      </c>
      <c r="AA47" s="54" t="s">
        <v>299</v>
      </c>
      <c r="AB47" s="83" t="s">
        <v>720</v>
      </c>
      <c r="AC47" s="84" t="s">
        <v>291</v>
      </c>
      <c r="AD47" s="85" t="s">
        <v>318</v>
      </c>
      <c r="AE47" s="82" t="s">
        <v>297</v>
      </c>
      <c r="AF47" s="103" t="s">
        <v>721</v>
      </c>
      <c r="AG47" s="84" t="s">
        <v>291</v>
      </c>
      <c r="AH47" s="85" t="s">
        <v>318</v>
      </c>
      <c r="AI47" s="69" t="s">
        <v>230</v>
      </c>
      <c r="AJ47" s="87" t="s">
        <v>297</v>
      </c>
      <c r="AK47" s="19" t="s">
        <v>847</v>
      </c>
      <c r="AL47" s="93" t="s">
        <v>93</v>
      </c>
      <c r="AM47" s="13" t="s">
        <v>838</v>
      </c>
      <c r="AN47" s="89" t="s">
        <v>93</v>
      </c>
      <c r="AO47" s="19" t="s">
        <v>838</v>
      </c>
      <c r="AP47" s="34" t="s">
        <v>230</v>
      </c>
      <c r="AQ47" s="45" t="s">
        <v>230</v>
      </c>
      <c r="AR47" s="90" t="s">
        <v>302</v>
      </c>
    </row>
    <row r="48" spans="1:44" s="4" customFormat="1" ht="76.5" hidden="1" x14ac:dyDescent="0.25">
      <c r="A48" s="44" t="s">
        <v>74</v>
      </c>
      <c r="B48" s="44" t="s">
        <v>32</v>
      </c>
      <c r="C48" s="44" t="s">
        <v>4</v>
      </c>
      <c r="D48" s="109" t="s">
        <v>1123</v>
      </c>
      <c r="E48" s="31" t="s">
        <v>722</v>
      </c>
      <c r="F48" s="74" t="s">
        <v>1125</v>
      </c>
      <c r="G48" s="110" t="s">
        <v>929</v>
      </c>
      <c r="H48" s="31" t="s">
        <v>722</v>
      </c>
      <c r="I48" s="75" t="s">
        <v>930</v>
      </c>
      <c r="J48" s="76" t="s">
        <v>291</v>
      </c>
      <c r="K48" s="13" t="s">
        <v>935</v>
      </c>
      <c r="L48" s="34" t="s">
        <v>195</v>
      </c>
      <c r="M48" s="17" t="s">
        <v>299</v>
      </c>
      <c r="N48" s="18" t="s">
        <v>723</v>
      </c>
      <c r="O48" s="35" t="s">
        <v>230</v>
      </c>
      <c r="P48" s="27" t="s">
        <v>309</v>
      </c>
      <c r="Q48" s="27" t="s">
        <v>410</v>
      </c>
      <c r="R48" s="28" t="s">
        <v>309</v>
      </c>
      <c r="S48" s="65" t="s">
        <v>410</v>
      </c>
      <c r="T48" s="92" t="s">
        <v>299</v>
      </c>
      <c r="U48" s="20" t="s">
        <v>341</v>
      </c>
      <c r="V48" s="88" t="s">
        <v>299</v>
      </c>
      <c r="W48" s="11" t="s">
        <v>931</v>
      </c>
      <c r="X48" s="79" t="s">
        <v>291</v>
      </c>
      <c r="Y48" s="65" t="s">
        <v>932</v>
      </c>
      <c r="Z48" s="37" t="s">
        <v>230</v>
      </c>
      <c r="AA48" s="54" t="s">
        <v>299</v>
      </c>
      <c r="AB48" s="54" t="s">
        <v>724</v>
      </c>
      <c r="AC48" s="84" t="s">
        <v>291</v>
      </c>
      <c r="AD48" s="85" t="s">
        <v>318</v>
      </c>
      <c r="AE48" s="54" t="s">
        <v>299</v>
      </c>
      <c r="AF48" s="83" t="s">
        <v>933</v>
      </c>
      <c r="AG48" s="84" t="s">
        <v>291</v>
      </c>
      <c r="AH48" s="85" t="s">
        <v>318</v>
      </c>
      <c r="AI48" s="69" t="s">
        <v>230</v>
      </c>
      <c r="AJ48" s="87" t="s">
        <v>297</v>
      </c>
      <c r="AK48" s="19" t="s">
        <v>934</v>
      </c>
      <c r="AL48" s="93" t="s">
        <v>93</v>
      </c>
      <c r="AM48" s="13" t="s">
        <v>838</v>
      </c>
      <c r="AN48" s="89" t="s">
        <v>93</v>
      </c>
      <c r="AO48" s="19" t="s">
        <v>838</v>
      </c>
      <c r="AP48" s="34" t="s">
        <v>230</v>
      </c>
      <c r="AQ48" s="45" t="s">
        <v>230</v>
      </c>
      <c r="AR48" s="73" t="s">
        <v>302</v>
      </c>
    </row>
    <row r="49" spans="1:44" s="4" customFormat="1" ht="102" hidden="1" x14ac:dyDescent="0.25">
      <c r="A49" s="44" t="s">
        <v>70</v>
      </c>
      <c r="B49" s="44" t="s">
        <v>32</v>
      </c>
      <c r="C49" s="44" t="s">
        <v>4</v>
      </c>
      <c r="D49" s="75" t="s">
        <v>1127</v>
      </c>
      <c r="E49" s="43" t="s">
        <v>725</v>
      </c>
      <c r="F49" s="75" t="s">
        <v>1128</v>
      </c>
      <c r="G49" s="74" t="s">
        <v>726</v>
      </c>
      <c r="H49" s="31" t="s">
        <v>725</v>
      </c>
      <c r="I49" s="74" t="s">
        <v>976</v>
      </c>
      <c r="J49" s="94" t="s">
        <v>297</v>
      </c>
      <c r="K49" s="13" t="s">
        <v>727</v>
      </c>
      <c r="L49" s="34" t="s">
        <v>196</v>
      </c>
      <c r="M49" s="17" t="s">
        <v>299</v>
      </c>
      <c r="N49" s="18" t="s">
        <v>728</v>
      </c>
      <c r="O49" s="35" t="s">
        <v>230</v>
      </c>
      <c r="P49" s="78" t="s">
        <v>291</v>
      </c>
      <c r="Q49" s="27" t="s">
        <v>410</v>
      </c>
      <c r="R49" s="79" t="s">
        <v>291</v>
      </c>
      <c r="S49" s="65" t="s">
        <v>410</v>
      </c>
      <c r="T49" s="80" t="s">
        <v>291</v>
      </c>
      <c r="U49" s="20" t="s">
        <v>729</v>
      </c>
      <c r="V49" s="81" t="s">
        <v>291</v>
      </c>
      <c r="W49" s="11" t="s">
        <v>730</v>
      </c>
      <c r="X49" s="79" t="s">
        <v>291</v>
      </c>
      <c r="Y49" s="65" t="s">
        <v>731</v>
      </c>
      <c r="Z49" s="37" t="s">
        <v>195</v>
      </c>
      <c r="AA49" s="54" t="s">
        <v>299</v>
      </c>
      <c r="AB49" s="83" t="s">
        <v>732</v>
      </c>
      <c r="AC49" s="84" t="s">
        <v>291</v>
      </c>
      <c r="AD49" s="85" t="s">
        <v>618</v>
      </c>
      <c r="AE49" s="54" t="s">
        <v>299</v>
      </c>
      <c r="AF49" s="83" t="s">
        <v>733</v>
      </c>
      <c r="AG49" s="84" t="s">
        <v>291</v>
      </c>
      <c r="AH49" s="85" t="s">
        <v>318</v>
      </c>
      <c r="AI49" s="69" t="s">
        <v>230</v>
      </c>
      <c r="AJ49" s="87" t="s">
        <v>297</v>
      </c>
      <c r="AK49" s="19" t="s">
        <v>977</v>
      </c>
      <c r="AL49" s="93" t="s">
        <v>93</v>
      </c>
      <c r="AM49" s="111" t="s">
        <v>838</v>
      </c>
      <c r="AN49" s="89" t="s">
        <v>93</v>
      </c>
      <c r="AO49" s="19" t="s">
        <v>838</v>
      </c>
      <c r="AP49" s="34" t="s">
        <v>230</v>
      </c>
      <c r="AQ49" s="45" t="s">
        <v>196</v>
      </c>
      <c r="AR49" s="73" t="s">
        <v>734</v>
      </c>
    </row>
    <row r="50" spans="1:44" s="4" customFormat="1" ht="229.5" x14ac:dyDescent="0.25">
      <c r="A50" s="44" t="s">
        <v>48</v>
      </c>
      <c r="B50" s="44" t="s">
        <v>29</v>
      </c>
      <c r="C50" s="44" t="s">
        <v>4</v>
      </c>
      <c r="D50" s="74" t="s">
        <v>1061</v>
      </c>
      <c r="E50" s="31" t="s">
        <v>735</v>
      </c>
      <c r="F50" s="74" t="s">
        <v>1062</v>
      </c>
      <c r="G50" s="75" t="s">
        <v>736</v>
      </c>
      <c r="H50" s="43" t="s">
        <v>735</v>
      </c>
      <c r="I50" s="75" t="s">
        <v>737</v>
      </c>
      <c r="J50" s="94" t="s">
        <v>297</v>
      </c>
      <c r="K50" s="13" t="s">
        <v>738</v>
      </c>
      <c r="L50" s="34" t="s">
        <v>196</v>
      </c>
      <c r="M50" s="77" t="s">
        <v>291</v>
      </c>
      <c r="N50" s="18" t="s">
        <v>859</v>
      </c>
      <c r="O50" s="35" t="s">
        <v>195</v>
      </c>
      <c r="P50" s="78" t="s">
        <v>291</v>
      </c>
      <c r="Q50" s="91" t="s">
        <v>739</v>
      </c>
      <c r="R50" s="28" t="s">
        <v>309</v>
      </c>
      <c r="S50" s="65" t="s">
        <v>740</v>
      </c>
      <c r="T50" s="80" t="s">
        <v>291</v>
      </c>
      <c r="U50" s="20" t="s">
        <v>741</v>
      </c>
      <c r="V50" s="81" t="s">
        <v>291</v>
      </c>
      <c r="W50" s="11" t="s">
        <v>741</v>
      </c>
      <c r="X50" s="28" t="s">
        <v>299</v>
      </c>
      <c r="Y50" s="28" t="s">
        <v>520</v>
      </c>
      <c r="Z50" s="37" t="s">
        <v>230</v>
      </c>
      <c r="AA50" s="54" t="s">
        <v>299</v>
      </c>
      <c r="AB50" s="83" t="s">
        <v>742</v>
      </c>
      <c r="AC50" s="84" t="s">
        <v>291</v>
      </c>
      <c r="AD50" s="85" t="s">
        <v>318</v>
      </c>
      <c r="AE50" s="82" t="s">
        <v>297</v>
      </c>
      <c r="AF50" s="83" t="s">
        <v>743</v>
      </c>
      <c r="AG50" s="84" t="s">
        <v>291</v>
      </c>
      <c r="AH50" s="85" t="s">
        <v>318</v>
      </c>
      <c r="AI50" s="69" t="s">
        <v>230</v>
      </c>
      <c r="AJ50" s="87" t="s">
        <v>297</v>
      </c>
      <c r="AK50" s="19" t="s">
        <v>860</v>
      </c>
      <c r="AL50" s="93" t="s">
        <v>93</v>
      </c>
      <c r="AM50" s="13" t="s">
        <v>838</v>
      </c>
      <c r="AN50" s="89" t="s">
        <v>93</v>
      </c>
      <c r="AO50" s="19" t="s">
        <v>838</v>
      </c>
      <c r="AP50" s="34" t="s">
        <v>230</v>
      </c>
      <c r="AQ50" s="45" t="s">
        <v>196</v>
      </c>
      <c r="AR50" s="90" t="s">
        <v>744</v>
      </c>
    </row>
    <row r="51" spans="1:44" s="4" customFormat="1" ht="140.25" hidden="1" x14ac:dyDescent="0.25">
      <c r="A51" s="44" t="s">
        <v>76</v>
      </c>
      <c r="B51" s="44" t="s">
        <v>32</v>
      </c>
      <c r="C51" s="44" t="s">
        <v>4</v>
      </c>
      <c r="D51" s="74" t="s">
        <v>1131</v>
      </c>
      <c r="E51" s="31" t="s">
        <v>745</v>
      </c>
      <c r="F51" s="74" t="s">
        <v>1132</v>
      </c>
      <c r="G51" s="75" t="s">
        <v>832</v>
      </c>
      <c r="H51" s="43" t="s">
        <v>833</v>
      </c>
      <c r="I51" s="75" t="s">
        <v>834</v>
      </c>
      <c r="J51" s="76" t="s">
        <v>291</v>
      </c>
      <c r="K51" s="13" t="s">
        <v>835</v>
      </c>
      <c r="L51" s="34" t="s">
        <v>195</v>
      </c>
      <c r="M51" s="17" t="s">
        <v>299</v>
      </c>
      <c r="N51" s="18" t="s">
        <v>836</v>
      </c>
      <c r="O51" s="35" t="s">
        <v>230</v>
      </c>
      <c r="P51" s="78" t="s">
        <v>291</v>
      </c>
      <c r="Q51" s="91" t="s">
        <v>746</v>
      </c>
      <c r="R51" s="79" t="s">
        <v>291</v>
      </c>
      <c r="S51" s="65" t="s">
        <v>747</v>
      </c>
      <c r="T51" s="92" t="s">
        <v>299</v>
      </c>
      <c r="U51" s="20" t="s">
        <v>748</v>
      </c>
      <c r="V51" s="88" t="s">
        <v>299</v>
      </c>
      <c r="W51" s="11" t="s">
        <v>748</v>
      </c>
      <c r="X51" s="79" t="s">
        <v>291</v>
      </c>
      <c r="Y51" s="65" t="s">
        <v>749</v>
      </c>
      <c r="Z51" s="37" t="s">
        <v>230</v>
      </c>
      <c r="AA51" s="54" t="s">
        <v>299</v>
      </c>
      <c r="AB51" s="83" t="s">
        <v>750</v>
      </c>
      <c r="AC51" s="84" t="s">
        <v>291</v>
      </c>
      <c r="AD51" s="85" t="s">
        <v>318</v>
      </c>
      <c r="AE51" s="82" t="s">
        <v>297</v>
      </c>
      <c r="AF51" s="83" t="s">
        <v>751</v>
      </c>
      <c r="AG51" s="84" t="s">
        <v>291</v>
      </c>
      <c r="AH51" s="85" t="s">
        <v>318</v>
      </c>
      <c r="AI51" s="69" t="s">
        <v>230</v>
      </c>
      <c r="AJ51" s="87" t="s">
        <v>389</v>
      </c>
      <c r="AK51" s="95" t="s">
        <v>837</v>
      </c>
      <c r="AL51" s="93" t="s">
        <v>93</v>
      </c>
      <c r="AM51" s="14" t="s">
        <v>838</v>
      </c>
      <c r="AN51" s="89" t="s">
        <v>93</v>
      </c>
      <c r="AO51" s="95" t="s">
        <v>838</v>
      </c>
      <c r="AP51" s="34" t="s">
        <v>230</v>
      </c>
      <c r="AQ51" s="45" t="s">
        <v>230</v>
      </c>
      <c r="AR51" s="73" t="s">
        <v>302</v>
      </c>
    </row>
    <row r="52" spans="1:44" s="4" customFormat="1" ht="89.25" x14ac:dyDescent="0.25">
      <c r="A52" s="44" t="s">
        <v>43</v>
      </c>
      <c r="B52" s="44" t="s">
        <v>29</v>
      </c>
      <c r="C52" s="44" t="s">
        <v>4</v>
      </c>
      <c r="D52" s="74" t="s">
        <v>1063</v>
      </c>
      <c r="E52" s="31" t="s">
        <v>894</v>
      </c>
      <c r="F52" s="74" t="s">
        <v>1064</v>
      </c>
      <c r="G52" s="75" t="s">
        <v>895</v>
      </c>
      <c r="H52" s="43" t="s">
        <v>896</v>
      </c>
      <c r="I52" s="75" t="s">
        <v>897</v>
      </c>
      <c r="J52" s="14" t="s">
        <v>299</v>
      </c>
      <c r="K52" s="13" t="s">
        <v>898</v>
      </c>
      <c r="L52" s="34" t="s">
        <v>230</v>
      </c>
      <c r="M52" s="17" t="s">
        <v>299</v>
      </c>
      <c r="N52" s="18" t="s">
        <v>752</v>
      </c>
      <c r="O52" s="35" t="s">
        <v>230</v>
      </c>
      <c r="P52" s="27" t="s">
        <v>308</v>
      </c>
      <c r="Q52" s="91" t="s">
        <v>899</v>
      </c>
      <c r="R52" s="28" t="s">
        <v>309</v>
      </c>
      <c r="S52" s="65" t="s">
        <v>900</v>
      </c>
      <c r="T52" s="92" t="s">
        <v>421</v>
      </c>
      <c r="U52" s="20" t="s">
        <v>901</v>
      </c>
      <c r="V52" s="88" t="s">
        <v>309</v>
      </c>
      <c r="W52" s="11" t="s">
        <v>901</v>
      </c>
      <c r="X52" s="28" t="s">
        <v>299</v>
      </c>
      <c r="Y52" s="65" t="s">
        <v>902</v>
      </c>
      <c r="Z52" s="37" t="s">
        <v>196</v>
      </c>
      <c r="AA52" s="54" t="s">
        <v>299</v>
      </c>
      <c r="AB52" s="83" t="s">
        <v>903</v>
      </c>
      <c r="AC52" s="84" t="s">
        <v>291</v>
      </c>
      <c r="AD52" s="85" t="s">
        <v>318</v>
      </c>
      <c r="AE52" s="54" t="s">
        <v>299</v>
      </c>
      <c r="AF52" s="83" t="s">
        <v>753</v>
      </c>
      <c r="AG52" s="84" t="s">
        <v>291</v>
      </c>
      <c r="AH52" s="85" t="s">
        <v>318</v>
      </c>
      <c r="AI52" s="69" t="s">
        <v>230</v>
      </c>
      <c r="AJ52" s="86" t="s">
        <v>291</v>
      </c>
      <c r="AK52" s="19" t="s">
        <v>904</v>
      </c>
      <c r="AL52" s="76" t="s">
        <v>291</v>
      </c>
      <c r="AM52" s="13" t="s">
        <v>905</v>
      </c>
      <c r="AN52" s="89" t="s">
        <v>93</v>
      </c>
      <c r="AO52" s="95" t="s">
        <v>906</v>
      </c>
      <c r="AP52" s="34" t="s">
        <v>195</v>
      </c>
      <c r="AQ52" s="45" t="s">
        <v>196</v>
      </c>
      <c r="AR52" s="73"/>
    </row>
    <row r="53" spans="1:44" s="4" customFormat="1" ht="89.25" x14ac:dyDescent="0.25">
      <c r="A53" s="44" t="s">
        <v>45</v>
      </c>
      <c r="B53" s="44" t="s">
        <v>29</v>
      </c>
      <c r="C53" s="44" t="s">
        <v>4</v>
      </c>
      <c r="D53" s="74" t="s">
        <v>1067</v>
      </c>
      <c r="E53" s="31" t="s">
        <v>754</v>
      </c>
      <c r="F53" s="74" t="s">
        <v>1068</v>
      </c>
      <c r="G53" s="75" t="s">
        <v>907</v>
      </c>
      <c r="H53" s="43" t="s">
        <v>754</v>
      </c>
      <c r="I53" s="75" t="s">
        <v>908</v>
      </c>
      <c r="J53" s="76" t="s">
        <v>291</v>
      </c>
      <c r="K53" s="13" t="s">
        <v>755</v>
      </c>
      <c r="L53" s="34" t="s">
        <v>195</v>
      </c>
      <c r="M53" s="17" t="s">
        <v>299</v>
      </c>
      <c r="N53" s="18" t="s">
        <v>756</v>
      </c>
      <c r="O53" s="35" t="s">
        <v>230</v>
      </c>
      <c r="P53" s="78" t="s">
        <v>291</v>
      </c>
      <c r="Q53" s="91" t="s">
        <v>757</v>
      </c>
      <c r="R53" s="79" t="s">
        <v>291</v>
      </c>
      <c r="S53" s="65" t="s">
        <v>758</v>
      </c>
      <c r="T53" s="80" t="s">
        <v>291</v>
      </c>
      <c r="U53" s="20" t="s">
        <v>537</v>
      </c>
      <c r="V53" s="88" t="s">
        <v>309</v>
      </c>
      <c r="W53" s="11" t="s">
        <v>537</v>
      </c>
      <c r="X53" s="79" t="s">
        <v>291</v>
      </c>
      <c r="Y53" s="65" t="s">
        <v>909</v>
      </c>
      <c r="Z53" s="37" t="s">
        <v>195</v>
      </c>
      <c r="AA53" s="82" t="s">
        <v>297</v>
      </c>
      <c r="AB53" s="83" t="s">
        <v>759</v>
      </c>
      <c r="AC53" s="84" t="s">
        <v>291</v>
      </c>
      <c r="AD53" s="85" t="s">
        <v>318</v>
      </c>
      <c r="AE53" s="82" t="s">
        <v>297</v>
      </c>
      <c r="AF53" s="83" t="s">
        <v>760</v>
      </c>
      <c r="AG53" s="84" t="s">
        <v>291</v>
      </c>
      <c r="AH53" s="85" t="s">
        <v>318</v>
      </c>
      <c r="AI53" s="69" t="s">
        <v>195</v>
      </c>
      <c r="AJ53" s="87" t="s">
        <v>297</v>
      </c>
      <c r="AK53" s="19" t="s">
        <v>910</v>
      </c>
      <c r="AL53" s="14" t="s">
        <v>93</v>
      </c>
      <c r="AM53" s="14" t="s">
        <v>838</v>
      </c>
      <c r="AN53" s="89" t="s">
        <v>93</v>
      </c>
      <c r="AO53" s="19" t="s">
        <v>838</v>
      </c>
      <c r="AP53" s="34" t="s">
        <v>230</v>
      </c>
      <c r="AQ53" s="45" t="s">
        <v>230</v>
      </c>
      <c r="AR53" s="90" t="s">
        <v>761</v>
      </c>
    </row>
    <row r="54" spans="1:44" s="4" customFormat="1" ht="140.25" hidden="1" x14ac:dyDescent="0.25">
      <c r="A54" s="44" t="s">
        <v>54</v>
      </c>
      <c r="B54" s="44" t="s">
        <v>28</v>
      </c>
      <c r="C54" s="44" t="s">
        <v>4</v>
      </c>
      <c r="D54" s="74" t="s">
        <v>1092</v>
      </c>
      <c r="E54" s="31" t="s">
        <v>762</v>
      </c>
      <c r="F54" s="74" t="s">
        <v>1093</v>
      </c>
      <c r="G54" s="75" t="s">
        <v>763</v>
      </c>
      <c r="H54" s="31" t="s">
        <v>762</v>
      </c>
      <c r="I54" s="75" t="s">
        <v>883</v>
      </c>
      <c r="J54" s="76" t="s">
        <v>291</v>
      </c>
      <c r="K54" s="13" t="s">
        <v>764</v>
      </c>
      <c r="L54" s="34" t="s">
        <v>195</v>
      </c>
      <c r="M54" s="77" t="s">
        <v>364</v>
      </c>
      <c r="N54" s="18" t="s">
        <v>765</v>
      </c>
      <c r="O54" s="35" t="s">
        <v>195</v>
      </c>
      <c r="P54" s="27" t="s">
        <v>299</v>
      </c>
      <c r="Q54" s="91" t="s">
        <v>766</v>
      </c>
      <c r="R54" s="28" t="s">
        <v>316</v>
      </c>
      <c r="S54" s="65" t="s">
        <v>766</v>
      </c>
      <c r="T54" s="92" t="s">
        <v>316</v>
      </c>
      <c r="U54" s="20" t="s">
        <v>767</v>
      </c>
      <c r="V54" s="88" t="s">
        <v>316</v>
      </c>
      <c r="W54" s="11" t="s">
        <v>767</v>
      </c>
      <c r="X54" s="28" t="s">
        <v>299</v>
      </c>
      <c r="Y54" s="28" t="s">
        <v>520</v>
      </c>
      <c r="Z54" s="37" t="s">
        <v>230</v>
      </c>
      <c r="AA54" s="54" t="s">
        <v>299</v>
      </c>
      <c r="AB54" s="83" t="s">
        <v>768</v>
      </c>
      <c r="AC54" s="84" t="s">
        <v>291</v>
      </c>
      <c r="AD54" s="85" t="s">
        <v>318</v>
      </c>
      <c r="AE54" s="54" t="s">
        <v>299</v>
      </c>
      <c r="AF54" s="83" t="s">
        <v>769</v>
      </c>
      <c r="AG54" s="84" t="s">
        <v>291</v>
      </c>
      <c r="AH54" s="85" t="s">
        <v>318</v>
      </c>
      <c r="AI54" s="69" t="s">
        <v>230</v>
      </c>
      <c r="AJ54" s="95" t="s">
        <v>295</v>
      </c>
      <c r="AK54" s="19" t="s">
        <v>884</v>
      </c>
      <c r="AL54" s="94" t="s">
        <v>297</v>
      </c>
      <c r="AM54" s="13" t="s">
        <v>885</v>
      </c>
      <c r="AN54" s="86" t="s">
        <v>291</v>
      </c>
      <c r="AO54" s="19" t="s">
        <v>886</v>
      </c>
      <c r="AP54" s="34" t="s">
        <v>230</v>
      </c>
      <c r="AQ54" s="45" t="s">
        <v>230</v>
      </c>
      <c r="AR54" s="73" t="s">
        <v>770</v>
      </c>
    </row>
    <row r="55" spans="1:44" s="4" customFormat="1" ht="102" x14ac:dyDescent="0.25">
      <c r="A55" s="44" t="s">
        <v>44</v>
      </c>
      <c r="B55" s="44" t="s">
        <v>29</v>
      </c>
      <c r="C55" s="44" t="s">
        <v>4</v>
      </c>
      <c r="D55" s="74" t="s">
        <v>1074</v>
      </c>
      <c r="E55" s="31" t="s">
        <v>888</v>
      </c>
      <c r="F55" s="74" t="s">
        <v>1075</v>
      </c>
      <c r="G55" s="75" t="s">
        <v>889</v>
      </c>
      <c r="H55" s="43" t="s">
        <v>771</v>
      </c>
      <c r="I55" s="75" t="s">
        <v>890</v>
      </c>
      <c r="J55" s="94" t="s">
        <v>297</v>
      </c>
      <c r="K55" s="13" t="s">
        <v>772</v>
      </c>
      <c r="L55" s="34" t="s">
        <v>196</v>
      </c>
      <c r="M55" s="17" t="s">
        <v>299</v>
      </c>
      <c r="N55" s="18" t="s">
        <v>773</v>
      </c>
      <c r="O55" s="35" t="s">
        <v>230</v>
      </c>
      <c r="P55" s="78" t="s">
        <v>291</v>
      </c>
      <c r="Q55" s="27" t="s">
        <v>293</v>
      </c>
      <c r="R55" s="79" t="s">
        <v>291</v>
      </c>
      <c r="S55" s="28" t="s">
        <v>293</v>
      </c>
      <c r="T55" s="80" t="s">
        <v>291</v>
      </c>
      <c r="U55" s="20" t="s">
        <v>537</v>
      </c>
      <c r="V55" s="81" t="s">
        <v>291</v>
      </c>
      <c r="W55" s="11" t="s">
        <v>537</v>
      </c>
      <c r="X55" s="28" t="s">
        <v>295</v>
      </c>
      <c r="Y55" s="65" t="s">
        <v>774</v>
      </c>
      <c r="Z55" s="37" t="s">
        <v>195</v>
      </c>
      <c r="AA55" s="54" t="s">
        <v>299</v>
      </c>
      <c r="AB55" s="83" t="s">
        <v>775</v>
      </c>
      <c r="AC55" s="84" t="s">
        <v>291</v>
      </c>
      <c r="AD55" s="85" t="s">
        <v>318</v>
      </c>
      <c r="AE55" s="54" t="s">
        <v>299</v>
      </c>
      <c r="AF55" s="83" t="s">
        <v>776</v>
      </c>
      <c r="AG55" s="84" t="s">
        <v>291</v>
      </c>
      <c r="AH55" s="85" t="s">
        <v>318</v>
      </c>
      <c r="AI55" s="69" t="s">
        <v>230</v>
      </c>
      <c r="AJ55" s="86" t="s">
        <v>291</v>
      </c>
      <c r="AK55" s="19" t="s">
        <v>891</v>
      </c>
      <c r="AL55" s="76" t="s">
        <v>291</v>
      </c>
      <c r="AM55" s="13" t="s">
        <v>892</v>
      </c>
      <c r="AN55" s="89" t="s">
        <v>93</v>
      </c>
      <c r="AO55" s="19" t="s">
        <v>893</v>
      </c>
      <c r="AP55" s="34" t="s">
        <v>195</v>
      </c>
      <c r="AQ55" s="45" t="s">
        <v>196</v>
      </c>
      <c r="AR55" s="90" t="s">
        <v>777</v>
      </c>
    </row>
    <row r="56" spans="1:44" s="4" customFormat="1" ht="178.5" hidden="1" x14ac:dyDescent="0.25">
      <c r="A56" s="44" t="s">
        <v>778</v>
      </c>
      <c r="B56" s="44" t="s">
        <v>28</v>
      </c>
      <c r="C56" s="44" t="s">
        <v>4</v>
      </c>
      <c r="D56" s="74" t="s">
        <v>1094</v>
      </c>
      <c r="E56" s="31" t="s">
        <v>779</v>
      </c>
      <c r="F56" s="74" t="s">
        <v>1095</v>
      </c>
      <c r="G56" s="75" t="s">
        <v>780</v>
      </c>
      <c r="H56" s="43" t="s">
        <v>779</v>
      </c>
      <c r="I56" s="75" t="s">
        <v>781</v>
      </c>
      <c r="J56" s="76" t="s">
        <v>291</v>
      </c>
      <c r="K56" s="13" t="s">
        <v>782</v>
      </c>
      <c r="L56" s="34" t="s">
        <v>195</v>
      </c>
      <c r="M56" s="77" t="s">
        <v>291</v>
      </c>
      <c r="N56" s="18" t="s">
        <v>783</v>
      </c>
      <c r="O56" s="35" t="s">
        <v>195</v>
      </c>
      <c r="P56" s="27" t="s">
        <v>309</v>
      </c>
      <c r="Q56" s="91" t="s">
        <v>784</v>
      </c>
      <c r="R56" s="28" t="s">
        <v>309</v>
      </c>
      <c r="S56" s="65" t="s">
        <v>785</v>
      </c>
      <c r="T56" s="92" t="s">
        <v>299</v>
      </c>
      <c r="U56" s="20" t="s">
        <v>411</v>
      </c>
      <c r="V56" s="88" t="s">
        <v>299</v>
      </c>
      <c r="W56" s="11" t="s">
        <v>411</v>
      </c>
      <c r="X56" s="79" t="s">
        <v>291</v>
      </c>
      <c r="Y56" s="65" t="s">
        <v>786</v>
      </c>
      <c r="Z56" s="37" t="s">
        <v>230</v>
      </c>
      <c r="AA56" s="82" t="s">
        <v>297</v>
      </c>
      <c r="AB56" s="83">
        <f>[1]Surrogate_Results!N83</f>
        <v>0</v>
      </c>
      <c r="AC56" s="84" t="s">
        <v>291</v>
      </c>
      <c r="AD56" s="85" t="s">
        <v>318</v>
      </c>
      <c r="AE56" s="82" t="s">
        <v>297</v>
      </c>
      <c r="AF56" s="83">
        <f>[1]Mortality_Results!K56</f>
        <v>0</v>
      </c>
      <c r="AG56" s="84" t="s">
        <v>291</v>
      </c>
      <c r="AH56" s="85" t="s">
        <v>318</v>
      </c>
      <c r="AI56" s="69" t="s">
        <v>195</v>
      </c>
      <c r="AJ56" s="87" t="s">
        <v>297</v>
      </c>
      <c r="AK56" s="19" t="s">
        <v>939</v>
      </c>
      <c r="AL56" s="93" t="s">
        <v>93</v>
      </c>
      <c r="AM56" s="13" t="s">
        <v>922</v>
      </c>
      <c r="AN56" s="89" t="s">
        <v>93</v>
      </c>
      <c r="AO56" s="19" t="s">
        <v>838</v>
      </c>
      <c r="AP56" s="34" t="s">
        <v>230</v>
      </c>
      <c r="AQ56" s="45" t="s">
        <v>230</v>
      </c>
      <c r="AR56" s="90" t="s">
        <v>302</v>
      </c>
    </row>
    <row r="57" spans="1:44" s="4" customFormat="1" ht="140.25" hidden="1" x14ac:dyDescent="0.25">
      <c r="A57" s="44" t="s">
        <v>55</v>
      </c>
      <c r="B57" s="44" t="s">
        <v>28</v>
      </c>
      <c r="C57" s="44" t="s">
        <v>4</v>
      </c>
      <c r="D57" s="74" t="s">
        <v>1096</v>
      </c>
      <c r="E57" s="31" t="s">
        <v>787</v>
      </c>
      <c r="F57" s="74" t="s">
        <v>1097</v>
      </c>
      <c r="G57" s="75" t="s">
        <v>788</v>
      </c>
      <c r="H57" s="43" t="s">
        <v>787</v>
      </c>
      <c r="I57" s="43" t="s">
        <v>940</v>
      </c>
      <c r="J57" s="94" t="s">
        <v>389</v>
      </c>
      <c r="K57" s="13" t="s">
        <v>789</v>
      </c>
      <c r="L57" s="34" t="s">
        <v>196</v>
      </c>
      <c r="M57" s="17" t="s">
        <v>299</v>
      </c>
      <c r="N57" s="18" t="s">
        <v>790</v>
      </c>
      <c r="O57" s="35" t="s">
        <v>230</v>
      </c>
      <c r="P57" s="78" t="s">
        <v>291</v>
      </c>
      <c r="Q57" s="91" t="s">
        <v>791</v>
      </c>
      <c r="R57" s="79" t="s">
        <v>291</v>
      </c>
      <c r="S57" s="65" t="s">
        <v>792</v>
      </c>
      <c r="T57" s="92" t="s">
        <v>299</v>
      </c>
      <c r="U57" s="20" t="s">
        <v>793</v>
      </c>
      <c r="V57" s="88" t="s">
        <v>299</v>
      </c>
      <c r="W57" s="11" t="s">
        <v>793</v>
      </c>
      <c r="X57" s="79" t="s">
        <v>291</v>
      </c>
      <c r="Y57" s="65" t="s">
        <v>794</v>
      </c>
      <c r="Z57" s="37" t="s">
        <v>230</v>
      </c>
      <c r="AA57" s="54" t="s">
        <v>299</v>
      </c>
      <c r="AB57" s="83" t="s">
        <v>795</v>
      </c>
      <c r="AC57" s="84" t="s">
        <v>291</v>
      </c>
      <c r="AD57" s="85" t="s">
        <v>495</v>
      </c>
      <c r="AE57" s="54" t="s">
        <v>299</v>
      </c>
      <c r="AF57" s="83" t="s">
        <v>796</v>
      </c>
      <c r="AG57" s="84" t="s">
        <v>291</v>
      </c>
      <c r="AH57" s="85" t="s">
        <v>495</v>
      </c>
      <c r="AI57" s="69" t="s">
        <v>230</v>
      </c>
      <c r="AJ57" s="87" t="s">
        <v>389</v>
      </c>
      <c r="AK57" s="95" t="s">
        <v>941</v>
      </c>
      <c r="AL57" s="93" t="s">
        <v>93</v>
      </c>
      <c r="AM57" s="13" t="s">
        <v>838</v>
      </c>
      <c r="AN57" s="89" t="s">
        <v>93</v>
      </c>
      <c r="AO57" s="95" t="s">
        <v>838</v>
      </c>
      <c r="AP57" s="34" t="s">
        <v>230</v>
      </c>
      <c r="AQ57" s="45" t="s">
        <v>196</v>
      </c>
      <c r="AR57" s="90" t="s">
        <v>797</v>
      </c>
    </row>
    <row r="58" spans="1:44" s="4" customFormat="1" ht="165.75" hidden="1" x14ac:dyDescent="0.25">
      <c r="A58" s="44" t="s">
        <v>63</v>
      </c>
      <c r="B58" s="44" t="s">
        <v>28</v>
      </c>
      <c r="C58" s="44" t="s">
        <v>4</v>
      </c>
      <c r="D58" s="74" t="s">
        <v>1090</v>
      </c>
      <c r="E58" s="31" t="s">
        <v>798</v>
      </c>
      <c r="F58" s="74" t="s">
        <v>1091</v>
      </c>
      <c r="G58" s="75" t="s">
        <v>799</v>
      </c>
      <c r="H58" s="31" t="s">
        <v>798</v>
      </c>
      <c r="I58" s="75" t="s">
        <v>800</v>
      </c>
      <c r="J58" s="76" t="s">
        <v>291</v>
      </c>
      <c r="K58" s="13" t="s">
        <v>801</v>
      </c>
      <c r="L58" s="34" t="s">
        <v>195</v>
      </c>
      <c r="M58" s="77" t="s">
        <v>291</v>
      </c>
      <c r="N58" s="18" t="s">
        <v>802</v>
      </c>
      <c r="O58" s="35" t="s">
        <v>195</v>
      </c>
      <c r="P58" s="78" t="s">
        <v>291</v>
      </c>
      <c r="Q58" s="91" t="s">
        <v>803</v>
      </c>
      <c r="R58" s="28" t="s">
        <v>309</v>
      </c>
      <c r="S58" s="65" t="s">
        <v>804</v>
      </c>
      <c r="T58" s="80" t="s">
        <v>291</v>
      </c>
      <c r="U58" s="20" t="s">
        <v>805</v>
      </c>
      <c r="V58" s="81" t="s">
        <v>291</v>
      </c>
      <c r="W58" s="11" t="s">
        <v>805</v>
      </c>
      <c r="X58" s="79" t="s">
        <v>291</v>
      </c>
      <c r="Y58" s="65" t="s">
        <v>806</v>
      </c>
      <c r="Z58" s="37" t="s">
        <v>195</v>
      </c>
      <c r="AA58" s="82" t="s">
        <v>297</v>
      </c>
      <c r="AB58" s="83" t="s">
        <v>807</v>
      </c>
      <c r="AC58" s="84" t="s">
        <v>291</v>
      </c>
      <c r="AD58" s="85" t="s">
        <v>495</v>
      </c>
      <c r="AE58" s="82" t="s">
        <v>297</v>
      </c>
      <c r="AF58" s="83" t="s">
        <v>808</v>
      </c>
      <c r="AG58" s="84" t="s">
        <v>291</v>
      </c>
      <c r="AH58" s="85" t="s">
        <v>495</v>
      </c>
      <c r="AI58" s="69" t="s">
        <v>195</v>
      </c>
      <c r="AJ58" s="87" t="s">
        <v>297</v>
      </c>
      <c r="AK58" s="19" t="s">
        <v>936</v>
      </c>
      <c r="AL58" s="93" t="s">
        <v>93</v>
      </c>
      <c r="AM58" s="13" t="s">
        <v>937</v>
      </c>
      <c r="AN58" s="89" t="s">
        <v>93</v>
      </c>
      <c r="AO58" s="95" t="s">
        <v>838</v>
      </c>
      <c r="AP58" s="34" t="s">
        <v>230</v>
      </c>
      <c r="AQ58" s="45" t="s">
        <v>230</v>
      </c>
      <c r="AR58" s="90" t="s">
        <v>938</v>
      </c>
    </row>
    <row r="59" spans="1:44" s="4" customFormat="1" ht="105.75" hidden="1" customHeight="1" x14ac:dyDescent="0.25">
      <c r="A59" s="44" t="s">
        <v>809</v>
      </c>
      <c r="B59" s="44" t="s">
        <v>28</v>
      </c>
      <c r="C59" s="44" t="s">
        <v>4</v>
      </c>
      <c r="D59" s="74" t="s">
        <v>1088</v>
      </c>
      <c r="E59" s="31" t="s">
        <v>810</v>
      </c>
      <c r="F59" s="74" t="s">
        <v>1089</v>
      </c>
      <c r="G59" s="75" t="s">
        <v>811</v>
      </c>
      <c r="H59" s="31" t="s">
        <v>810</v>
      </c>
      <c r="I59" s="75" t="s">
        <v>924</v>
      </c>
      <c r="J59" s="76" t="s">
        <v>291</v>
      </c>
      <c r="K59" s="13" t="s">
        <v>812</v>
      </c>
      <c r="L59" s="34" t="s">
        <v>195</v>
      </c>
      <c r="M59" s="17" t="s">
        <v>299</v>
      </c>
      <c r="N59" s="18" t="s">
        <v>813</v>
      </c>
      <c r="O59" s="35" t="s">
        <v>230</v>
      </c>
      <c r="P59" s="27" t="s">
        <v>421</v>
      </c>
      <c r="Q59" s="27" t="s">
        <v>814</v>
      </c>
      <c r="R59" s="79" t="s">
        <v>291</v>
      </c>
      <c r="S59" s="65" t="s">
        <v>814</v>
      </c>
      <c r="T59" s="92" t="s">
        <v>299</v>
      </c>
      <c r="U59" s="20" t="s">
        <v>815</v>
      </c>
      <c r="V59" s="88" t="s">
        <v>299</v>
      </c>
      <c r="W59" s="11" t="s">
        <v>815</v>
      </c>
      <c r="X59" s="28" t="s">
        <v>299</v>
      </c>
      <c r="Y59" s="28" t="s">
        <v>678</v>
      </c>
      <c r="Z59" s="37" t="s">
        <v>230</v>
      </c>
      <c r="AA59" s="54" t="s">
        <v>299</v>
      </c>
      <c r="AB59" s="83" t="s">
        <v>816</v>
      </c>
      <c r="AC59" s="84" t="s">
        <v>291</v>
      </c>
      <c r="AD59" s="85" t="s">
        <v>495</v>
      </c>
      <c r="AE59" s="54" t="s">
        <v>299</v>
      </c>
      <c r="AF59" s="83" t="s">
        <v>817</v>
      </c>
      <c r="AG59" s="84" t="s">
        <v>291</v>
      </c>
      <c r="AH59" s="85" t="s">
        <v>495</v>
      </c>
      <c r="AI59" s="69" t="s">
        <v>230</v>
      </c>
      <c r="AJ59" s="86" t="s">
        <v>291</v>
      </c>
      <c r="AK59" s="19" t="s">
        <v>925</v>
      </c>
      <c r="AL59" s="76" t="s">
        <v>926</v>
      </c>
      <c r="AM59" s="13" t="s">
        <v>927</v>
      </c>
      <c r="AN59" s="89" t="s">
        <v>872</v>
      </c>
      <c r="AO59" s="19" t="s">
        <v>928</v>
      </c>
      <c r="AP59" s="34" t="s">
        <v>195</v>
      </c>
      <c r="AQ59" s="45" t="s">
        <v>230</v>
      </c>
      <c r="AR59" s="73" t="s">
        <v>302</v>
      </c>
    </row>
    <row r="60" spans="1:44" s="4" customFormat="1" ht="140.25" x14ac:dyDescent="0.25">
      <c r="A60" s="44" t="s">
        <v>1162</v>
      </c>
      <c r="B60" s="44" t="s">
        <v>29</v>
      </c>
      <c r="C60" s="44" t="s">
        <v>4</v>
      </c>
      <c r="D60" s="74" t="s">
        <v>1069</v>
      </c>
      <c r="E60" s="31" t="s">
        <v>818</v>
      </c>
      <c r="F60" s="74" t="s">
        <v>1070</v>
      </c>
      <c r="G60" s="75" t="s">
        <v>819</v>
      </c>
      <c r="H60" s="31" t="s">
        <v>818</v>
      </c>
      <c r="I60" s="43" t="s">
        <v>373</v>
      </c>
      <c r="J60" s="76" t="s">
        <v>291</v>
      </c>
      <c r="K60" s="13" t="s">
        <v>823</v>
      </c>
      <c r="L60" s="34" t="s">
        <v>195</v>
      </c>
      <c r="M60" s="17" t="s">
        <v>820</v>
      </c>
      <c r="N60" s="18" t="s">
        <v>824</v>
      </c>
      <c r="O60" s="35" t="s">
        <v>195</v>
      </c>
      <c r="P60" s="78" t="s">
        <v>291</v>
      </c>
      <c r="Q60" s="91" t="s">
        <v>825</v>
      </c>
      <c r="R60" s="28" t="s">
        <v>421</v>
      </c>
      <c r="S60" s="65" t="s">
        <v>826</v>
      </c>
      <c r="T60" s="92" t="s">
        <v>299</v>
      </c>
      <c r="U60" s="20" t="s">
        <v>827</v>
      </c>
      <c r="V60" s="88" t="s">
        <v>299</v>
      </c>
      <c r="W60" s="11" t="s">
        <v>827</v>
      </c>
      <c r="X60" s="79" t="s">
        <v>291</v>
      </c>
      <c r="Y60" s="65" t="s">
        <v>821</v>
      </c>
      <c r="Z60" s="37" t="s">
        <v>230</v>
      </c>
      <c r="AA60" s="54" t="s">
        <v>299</v>
      </c>
      <c r="AB60" s="83" t="s">
        <v>822</v>
      </c>
      <c r="AC60" s="96" t="s">
        <v>421</v>
      </c>
      <c r="AD60" s="85" t="s">
        <v>318</v>
      </c>
      <c r="AE60" s="82" t="s">
        <v>297</v>
      </c>
      <c r="AF60" s="83" t="s">
        <v>828</v>
      </c>
      <c r="AG60" s="84" t="s">
        <v>291</v>
      </c>
      <c r="AH60" s="85" t="s">
        <v>318</v>
      </c>
      <c r="AI60" s="69" t="s">
        <v>230</v>
      </c>
      <c r="AJ60" s="87" t="s">
        <v>297</v>
      </c>
      <c r="AK60" s="19" t="s">
        <v>989</v>
      </c>
      <c r="AL60" s="93" t="s">
        <v>93</v>
      </c>
      <c r="AM60" s="13" t="s">
        <v>838</v>
      </c>
      <c r="AN60" s="89" t="s">
        <v>93</v>
      </c>
      <c r="AO60" s="19" t="s">
        <v>838</v>
      </c>
      <c r="AP60" s="34" t="s">
        <v>230</v>
      </c>
      <c r="AQ60" s="45" t="s">
        <v>230</v>
      </c>
      <c r="AR60" s="73" t="s">
        <v>770</v>
      </c>
    </row>
  </sheetData>
  <autoFilter ref="A2:AR60" xr:uid="{D6B1A241-892B-46A5-9C20-6EBBBC650A19}">
    <filterColumn colId="1">
      <filters>
        <filter val="Bowel"/>
      </filters>
    </filterColumn>
  </autoFilter>
  <mergeCells count="11">
    <mergeCell ref="D1:H1"/>
    <mergeCell ref="T1:W1"/>
    <mergeCell ref="X1:Y1"/>
    <mergeCell ref="A1:C1"/>
    <mergeCell ref="J1:L1"/>
    <mergeCell ref="P1:S1"/>
    <mergeCell ref="AQ1:AR1"/>
    <mergeCell ref="AJ1:AP1"/>
    <mergeCell ref="M1:O1"/>
    <mergeCell ref="AA1:AD1"/>
    <mergeCell ref="AE1:AH1"/>
  </mergeCells>
  <conditionalFormatting sqref="AA16:AB16">
    <cfRule type="duplicateValues" dxfId="2" priority="2"/>
  </conditionalFormatting>
  <conditionalFormatting sqref="AG35:AI35">
    <cfRule type="duplicateValues" dxfId="1" priority="3"/>
  </conditionalFormatting>
  <conditionalFormatting sqref="AJ16:AK16">
    <cfRule type="duplicateValues" dxfId="0" priority="1"/>
  </conditionalFormatting>
  <pageMargins left="0.7" right="0.7" top="0.75" bottom="0.75" header="0.3" footer="0.3"/>
  <pageSetup paperSize="9"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6DDD-BAD3-4AF2-9835-3EF23B525A3B}">
  <dimension ref="A1:C21"/>
  <sheetViews>
    <sheetView zoomScale="81" zoomScaleNormal="81" workbookViewId="0">
      <pane xSplit="1" ySplit="1" topLeftCell="B16" activePane="bottomRight" state="frozen"/>
      <selection pane="topRight" activeCell="B1" sqref="B1"/>
      <selection pane="bottomLeft" activeCell="A2" sqref="A2"/>
      <selection pane="bottomRight" activeCell="B20" sqref="B20"/>
    </sheetView>
  </sheetViews>
  <sheetFormatPr defaultRowHeight="15" x14ac:dyDescent="0.25"/>
  <cols>
    <col min="1" max="1" width="36.42578125" style="62" customWidth="1"/>
    <col min="2" max="2" width="119.140625" style="3" customWidth="1"/>
    <col min="3" max="3" width="129" style="3" customWidth="1"/>
  </cols>
  <sheetData>
    <row r="1" spans="1:3" s="1" customFormat="1" x14ac:dyDescent="0.25">
      <c r="A1" s="62" t="s">
        <v>105</v>
      </c>
      <c r="B1" s="62" t="s">
        <v>107</v>
      </c>
      <c r="C1" s="62" t="s">
        <v>106</v>
      </c>
    </row>
    <row r="2" spans="1:3" s="21" customFormat="1" ht="229.5" x14ac:dyDescent="0.25">
      <c r="A2" s="50" t="s">
        <v>228</v>
      </c>
      <c r="B2" s="64" t="s">
        <v>223</v>
      </c>
      <c r="C2" s="64" t="s">
        <v>229</v>
      </c>
    </row>
    <row r="3" spans="1:3" s="21" customFormat="1" ht="44.25" customHeight="1" x14ac:dyDescent="0.25">
      <c r="A3" s="63" t="s">
        <v>231</v>
      </c>
      <c r="B3" s="64" t="s">
        <v>263</v>
      </c>
      <c r="C3" s="51" t="s">
        <v>199</v>
      </c>
    </row>
    <row r="4" spans="1:3" s="22" customFormat="1" ht="63.75" x14ac:dyDescent="0.25">
      <c r="A4" s="9" t="s">
        <v>234</v>
      </c>
      <c r="B4" s="18" t="s">
        <v>217</v>
      </c>
      <c r="C4" s="17" t="s">
        <v>199</v>
      </c>
    </row>
    <row r="5" spans="1:3" s="22" customFormat="1" ht="38.25" x14ac:dyDescent="0.25">
      <c r="A5" s="10" t="s">
        <v>109</v>
      </c>
      <c r="B5" s="18" t="s">
        <v>264</v>
      </c>
      <c r="C5" s="17" t="s">
        <v>199</v>
      </c>
    </row>
    <row r="6" spans="1:3" s="23" customFormat="1" ht="86.45" customHeight="1" x14ac:dyDescent="0.25">
      <c r="A6" s="26" t="s">
        <v>244</v>
      </c>
      <c r="B6" s="65" t="s">
        <v>270</v>
      </c>
      <c r="C6" s="65" t="s">
        <v>111</v>
      </c>
    </row>
    <row r="7" spans="1:3" s="23" customFormat="1" ht="81.95" customHeight="1" x14ac:dyDescent="0.25">
      <c r="A7" s="26" t="s">
        <v>233</v>
      </c>
      <c r="B7" s="65" t="s">
        <v>271</v>
      </c>
      <c r="C7" s="65" t="s">
        <v>199</v>
      </c>
    </row>
    <row r="8" spans="1:3" s="30" customFormat="1" ht="97.5" customHeight="1" x14ac:dyDescent="0.25">
      <c r="A8" s="59" t="s">
        <v>245</v>
      </c>
      <c r="B8" s="66" t="s">
        <v>272</v>
      </c>
      <c r="C8" s="66" t="s">
        <v>199</v>
      </c>
    </row>
    <row r="9" spans="1:3" s="30" customFormat="1" ht="93" customHeight="1" x14ac:dyDescent="0.25">
      <c r="A9" s="59" t="s">
        <v>235</v>
      </c>
      <c r="B9" s="66" t="s">
        <v>273</v>
      </c>
      <c r="C9" s="66" t="s">
        <v>199</v>
      </c>
    </row>
    <row r="10" spans="1:3" s="23" customFormat="1" ht="108.95" customHeight="1" x14ac:dyDescent="0.25">
      <c r="A10" s="26" t="s">
        <v>236</v>
      </c>
      <c r="B10" s="65" t="s">
        <v>274</v>
      </c>
      <c r="C10" s="65" t="s">
        <v>199</v>
      </c>
    </row>
    <row r="11" spans="1:3" s="23" customFormat="1" ht="38.25" x14ac:dyDescent="0.25">
      <c r="A11" s="67" t="s">
        <v>108</v>
      </c>
      <c r="B11" s="65" t="s">
        <v>238</v>
      </c>
      <c r="C11" s="65" t="s">
        <v>199</v>
      </c>
    </row>
    <row r="12" spans="1:3" s="58" customFormat="1" ht="95.1" customHeight="1" x14ac:dyDescent="0.25">
      <c r="A12" s="52" t="s">
        <v>212</v>
      </c>
      <c r="B12" s="68" t="s">
        <v>220</v>
      </c>
      <c r="C12" s="57" t="s">
        <v>199</v>
      </c>
    </row>
    <row r="13" spans="1:3" s="58" customFormat="1" ht="90.95" customHeight="1" x14ac:dyDescent="0.25">
      <c r="A13" s="52" t="s">
        <v>246</v>
      </c>
      <c r="B13" s="68" t="s">
        <v>218</v>
      </c>
      <c r="C13" s="57" t="s">
        <v>199</v>
      </c>
    </row>
    <row r="14" spans="1:3" s="58" customFormat="1" ht="95.1" customHeight="1" x14ac:dyDescent="0.25">
      <c r="A14" s="52" t="s">
        <v>213</v>
      </c>
      <c r="B14" s="68" t="s">
        <v>224</v>
      </c>
      <c r="C14" s="57" t="s">
        <v>199</v>
      </c>
    </row>
    <row r="15" spans="1:3" s="58" customFormat="1" ht="76.5" x14ac:dyDescent="0.25">
      <c r="A15" s="52" t="s">
        <v>247</v>
      </c>
      <c r="B15" s="68" t="s">
        <v>219</v>
      </c>
      <c r="C15" s="57" t="s">
        <v>199</v>
      </c>
    </row>
    <row r="16" spans="1:3" s="58" customFormat="1" ht="48.6" customHeight="1" x14ac:dyDescent="0.25">
      <c r="A16" s="69" t="s">
        <v>110</v>
      </c>
      <c r="B16" s="68" t="s">
        <v>282</v>
      </c>
      <c r="C16" s="57" t="s">
        <v>199</v>
      </c>
    </row>
    <row r="17" spans="1:3" s="33" customFormat="1" ht="54.95" customHeight="1" x14ac:dyDescent="0.25">
      <c r="A17" s="38" t="s">
        <v>829</v>
      </c>
      <c r="B17" s="70" t="s">
        <v>1033</v>
      </c>
      <c r="C17" s="60"/>
    </row>
    <row r="18" spans="1:3" s="33" customFormat="1" ht="67.5" customHeight="1" x14ac:dyDescent="0.25">
      <c r="A18" s="38" t="s">
        <v>1034</v>
      </c>
      <c r="B18" s="70" t="s">
        <v>1035</v>
      </c>
      <c r="C18" s="60"/>
    </row>
    <row r="19" spans="1:3" s="33" customFormat="1" ht="72.599999999999994" customHeight="1" x14ac:dyDescent="0.25">
      <c r="A19" s="38" t="s">
        <v>831</v>
      </c>
      <c r="B19" s="70" t="s">
        <v>1036</v>
      </c>
      <c r="C19" s="60"/>
    </row>
    <row r="20" spans="1:3" s="33" customFormat="1" ht="57.6" customHeight="1" x14ac:dyDescent="0.25">
      <c r="A20" s="34" t="s">
        <v>197</v>
      </c>
      <c r="B20" s="70" t="s">
        <v>1037</v>
      </c>
      <c r="C20" s="60" t="s">
        <v>199</v>
      </c>
    </row>
    <row r="21" spans="1:3" s="24" customFormat="1" ht="38.25" x14ac:dyDescent="0.25">
      <c r="A21" s="71" t="s">
        <v>112</v>
      </c>
      <c r="B21" s="72" t="s">
        <v>265</v>
      </c>
      <c r="C21" s="48" t="s">
        <v>199</v>
      </c>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D61C-2787-4D67-8E9C-4CE132E72072}">
  <dimension ref="A1:X54"/>
  <sheetViews>
    <sheetView workbookViewId="0">
      <pane ySplit="1" topLeftCell="A2" activePane="bottomLeft" state="frozen"/>
      <selection pane="bottomLeft" activeCell="C35" sqref="C35"/>
    </sheetView>
  </sheetViews>
  <sheetFormatPr defaultRowHeight="15" x14ac:dyDescent="0.25"/>
  <cols>
    <col min="2" max="2" width="13.42578125" customWidth="1"/>
    <col min="3" max="4" width="23.42578125" customWidth="1"/>
    <col min="5" max="5" width="28.140625" customWidth="1"/>
    <col min="6" max="6" width="19.42578125" customWidth="1"/>
    <col min="7" max="7" width="13.140625" customWidth="1"/>
    <col min="8" max="9" width="17.140625" customWidth="1"/>
    <col min="10" max="10" width="12.5703125" customWidth="1"/>
    <col min="11" max="11" width="17.140625" customWidth="1"/>
    <col min="12" max="15" width="12" customWidth="1"/>
    <col min="16" max="16" width="11.140625" customWidth="1"/>
    <col min="17" max="17" width="13.42578125" customWidth="1"/>
    <col min="18" max="18" width="20.5703125" customWidth="1"/>
    <col min="19" max="19" width="17.42578125" customWidth="1"/>
    <col min="20" max="20" width="11" customWidth="1"/>
    <col min="21" max="21" width="34.5703125" customWidth="1"/>
    <col min="22" max="22" width="14" style="7" customWidth="1"/>
    <col min="23" max="23" width="13.140625" customWidth="1"/>
    <col min="24" max="24" width="20.140625" customWidth="1"/>
  </cols>
  <sheetData>
    <row r="1" spans="1:24" s="5" customFormat="1" ht="38.25" x14ac:dyDescent="0.25">
      <c r="A1" s="5" t="s">
        <v>3</v>
      </c>
      <c r="B1" s="5" t="s">
        <v>0</v>
      </c>
      <c r="C1" s="5" t="s">
        <v>1</v>
      </c>
      <c r="D1" s="5" t="s">
        <v>2</v>
      </c>
      <c r="E1" s="5" t="s">
        <v>119</v>
      </c>
      <c r="F1" s="5" t="s">
        <v>146</v>
      </c>
      <c r="G1" s="5" t="s">
        <v>147</v>
      </c>
      <c r="H1" s="5" t="s">
        <v>153</v>
      </c>
      <c r="I1" s="5" t="s">
        <v>156</v>
      </c>
      <c r="J1" s="5" t="s">
        <v>159</v>
      </c>
      <c r="K1" s="5" t="s">
        <v>99</v>
      </c>
      <c r="L1" s="5" t="s">
        <v>164</v>
      </c>
      <c r="M1" s="5" t="s">
        <v>168</v>
      </c>
      <c r="N1" s="5" t="s">
        <v>172</v>
      </c>
      <c r="O1" s="5" t="s">
        <v>175</v>
      </c>
      <c r="P1" s="5" t="s">
        <v>186</v>
      </c>
      <c r="Q1" s="5" t="s">
        <v>14</v>
      </c>
      <c r="R1" s="5" t="s">
        <v>10</v>
      </c>
      <c r="S1" s="5" t="s">
        <v>7</v>
      </c>
      <c r="T1" s="5" t="s">
        <v>15</v>
      </c>
      <c r="U1" s="15" t="s">
        <v>100</v>
      </c>
      <c r="V1" s="16" t="s">
        <v>101</v>
      </c>
      <c r="W1" s="5" t="s">
        <v>6</v>
      </c>
      <c r="X1" s="5" t="s">
        <v>194</v>
      </c>
    </row>
    <row r="2" spans="1:24" s="2" customFormat="1" ht="12.75" x14ac:dyDescent="0.2">
      <c r="A2" s="2" t="s">
        <v>113</v>
      </c>
      <c r="B2" s="2" t="s">
        <v>29</v>
      </c>
      <c r="C2" s="2" t="s">
        <v>41</v>
      </c>
      <c r="D2" s="2" t="s">
        <v>128</v>
      </c>
      <c r="E2" s="2" t="s">
        <v>178</v>
      </c>
      <c r="F2" s="2" t="s">
        <v>144</v>
      </c>
      <c r="G2" s="2" t="s">
        <v>148</v>
      </c>
      <c r="H2" s="2" t="s">
        <v>154</v>
      </c>
      <c r="I2" s="2" t="s">
        <v>157</v>
      </c>
      <c r="J2" s="2" t="s">
        <v>160</v>
      </c>
      <c r="K2" s="2" t="s">
        <v>162</v>
      </c>
      <c r="L2" s="2" t="s">
        <v>165</v>
      </c>
      <c r="M2" s="2" t="s">
        <v>169</v>
      </c>
      <c r="N2" s="2" t="s">
        <v>173</v>
      </c>
      <c r="O2" s="2" t="s">
        <v>176</v>
      </c>
      <c r="P2" s="2" t="s">
        <v>94</v>
      </c>
      <c r="Q2" s="2" t="s">
        <v>16</v>
      </c>
      <c r="R2" s="2" t="s">
        <v>11</v>
      </c>
      <c r="S2" s="2" t="s">
        <v>180</v>
      </c>
      <c r="T2" s="2" t="s">
        <v>284</v>
      </c>
      <c r="U2" s="2" t="s">
        <v>192</v>
      </c>
      <c r="V2" s="6" t="s">
        <v>18</v>
      </c>
      <c r="W2" s="2" t="s">
        <v>102</v>
      </c>
      <c r="X2" s="2" t="s">
        <v>195</v>
      </c>
    </row>
    <row r="3" spans="1:24" s="2" customFormat="1" ht="12.75" x14ac:dyDescent="0.2">
      <c r="A3" s="2" t="s">
        <v>114</v>
      </c>
      <c r="B3" s="2" t="s">
        <v>28</v>
      </c>
      <c r="C3" s="2" t="s">
        <v>49</v>
      </c>
      <c r="D3" s="2" t="s">
        <v>137</v>
      </c>
      <c r="E3" s="2" t="s">
        <v>179</v>
      </c>
      <c r="F3" s="2" t="s">
        <v>145</v>
      </c>
      <c r="G3" s="2" t="s">
        <v>149</v>
      </c>
      <c r="H3" s="2" t="s">
        <v>155</v>
      </c>
      <c r="I3" s="2" t="s">
        <v>158</v>
      </c>
      <c r="J3" s="2" t="s">
        <v>161</v>
      </c>
      <c r="K3" s="2" t="s">
        <v>163</v>
      </c>
      <c r="L3" s="2" t="s">
        <v>166</v>
      </c>
      <c r="M3" s="2" t="s">
        <v>170</v>
      </c>
      <c r="N3" s="2" t="s">
        <v>174</v>
      </c>
      <c r="O3" s="2" t="s">
        <v>177</v>
      </c>
      <c r="P3" s="2" t="s">
        <v>95</v>
      </c>
      <c r="Q3" s="2" t="s">
        <v>17</v>
      </c>
      <c r="R3" s="2" t="s">
        <v>277</v>
      </c>
      <c r="S3" s="2" t="s">
        <v>181</v>
      </c>
      <c r="T3" s="2" t="s">
        <v>285</v>
      </c>
      <c r="U3" s="2" t="s">
        <v>187</v>
      </c>
      <c r="V3" s="6" t="s">
        <v>19</v>
      </c>
      <c r="W3" s="2" t="s">
        <v>103</v>
      </c>
      <c r="X3" s="2" t="s">
        <v>230</v>
      </c>
    </row>
    <row r="4" spans="1:24" s="2" customFormat="1" ht="12.75" x14ac:dyDescent="0.2">
      <c r="A4" s="2" t="s">
        <v>115</v>
      </c>
      <c r="B4" s="2" t="s">
        <v>38</v>
      </c>
      <c r="C4" s="2" t="s">
        <v>65</v>
      </c>
      <c r="D4" s="2" t="s">
        <v>136</v>
      </c>
      <c r="E4" s="2" t="s">
        <v>120</v>
      </c>
      <c r="F4" s="2" t="s">
        <v>9</v>
      </c>
      <c r="G4" s="2" t="s">
        <v>150</v>
      </c>
      <c r="H4" s="2" t="s">
        <v>145</v>
      </c>
      <c r="I4" s="2" t="s">
        <v>8</v>
      </c>
      <c r="J4" s="2" t="s">
        <v>9</v>
      </c>
      <c r="K4" s="2" t="s">
        <v>9</v>
      </c>
      <c r="L4" s="2" t="s">
        <v>167</v>
      </c>
      <c r="M4" s="2" t="s">
        <v>171</v>
      </c>
      <c r="N4" s="2" t="s">
        <v>183</v>
      </c>
      <c r="O4" s="2" t="s">
        <v>9</v>
      </c>
      <c r="P4" s="2" t="s">
        <v>184</v>
      </c>
      <c r="R4" s="2" t="s">
        <v>12</v>
      </c>
      <c r="S4" s="2" t="s">
        <v>182</v>
      </c>
      <c r="T4" s="2" t="s">
        <v>286</v>
      </c>
      <c r="U4" s="2" t="s">
        <v>188</v>
      </c>
      <c r="V4" s="6" t="s">
        <v>20</v>
      </c>
      <c r="W4" s="2" t="s">
        <v>98</v>
      </c>
      <c r="X4" s="2" t="s">
        <v>196</v>
      </c>
    </row>
    <row r="5" spans="1:24" s="2" customFormat="1" ht="12.75" x14ac:dyDescent="0.2">
      <c r="A5" s="2" t="s">
        <v>116</v>
      </c>
      <c r="B5" s="2" t="s">
        <v>30</v>
      </c>
      <c r="C5" s="2" t="s">
        <v>68</v>
      </c>
      <c r="D5" s="2" t="s">
        <v>140</v>
      </c>
      <c r="E5" s="2" t="s">
        <v>127</v>
      </c>
      <c r="G5" s="2" t="s">
        <v>151</v>
      </c>
      <c r="H5" s="2" t="s">
        <v>9</v>
      </c>
      <c r="I5" s="2" t="s">
        <v>9</v>
      </c>
      <c r="M5" s="2" t="s">
        <v>9</v>
      </c>
      <c r="P5" s="2" t="s">
        <v>93</v>
      </c>
      <c r="R5" s="2" t="s">
        <v>13</v>
      </c>
      <c r="T5" s="2" t="s">
        <v>287</v>
      </c>
      <c r="U5" s="2" t="s">
        <v>189</v>
      </c>
      <c r="V5" s="6" t="s">
        <v>24</v>
      </c>
      <c r="W5" s="2" t="s">
        <v>9</v>
      </c>
      <c r="X5" s="2" t="s">
        <v>93</v>
      </c>
    </row>
    <row r="6" spans="1:24" s="2" customFormat="1" ht="12.75" x14ac:dyDescent="0.2">
      <c r="A6" s="2" t="s">
        <v>117</v>
      </c>
      <c r="B6" s="2" t="s">
        <v>31</v>
      </c>
      <c r="C6" s="2" t="s">
        <v>66</v>
      </c>
      <c r="D6" s="2" t="s">
        <v>123</v>
      </c>
      <c r="E6" s="2" t="s">
        <v>185</v>
      </c>
      <c r="G6" s="2" t="s">
        <v>152</v>
      </c>
      <c r="R6" s="2" t="s">
        <v>275</v>
      </c>
      <c r="T6" s="2" t="s">
        <v>93</v>
      </c>
      <c r="U6" s="2" t="s">
        <v>190</v>
      </c>
      <c r="V6" s="6" t="s">
        <v>25</v>
      </c>
      <c r="W6" s="2" t="s">
        <v>93</v>
      </c>
    </row>
    <row r="7" spans="1:24" x14ac:dyDescent="0.25">
      <c r="A7" s="2" t="s">
        <v>193</v>
      </c>
      <c r="B7" s="2" t="s">
        <v>32</v>
      </c>
      <c r="C7" s="2" t="s">
        <v>56</v>
      </c>
      <c r="D7" s="2" t="s">
        <v>133</v>
      </c>
      <c r="E7" s="2"/>
      <c r="F7" s="2"/>
      <c r="G7" s="2" t="s">
        <v>9</v>
      </c>
      <c r="H7" s="2"/>
      <c r="I7" s="2"/>
      <c r="J7" s="2"/>
      <c r="K7" s="2"/>
      <c r="L7" s="2"/>
      <c r="M7" s="2"/>
      <c r="N7" s="2"/>
      <c r="O7" s="2"/>
      <c r="P7" s="2"/>
      <c r="Q7" s="2"/>
      <c r="R7" s="2" t="s">
        <v>276</v>
      </c>
      <c r="U7" s="2" t="s">
        <v>191</v>
      </c>
      <c r="V7" s="6" t="s">
        <v>104</v>
      </c>
    </row>
    <row r="8" spans="1:24" x14ac:dyDescent="0.25">
      <c r="A8" s="2" t="s">
        <v>221</v>
      </c>
      <c r="B8" s="2" t="s">
        <v>33</v>
      </c>
      <c r="C8" s="2" t="s">
        <v>82</v>
      </c>
      <c r="D8" s="2" t="s">
        <v>134</v>
      </c>
      <c r="E8" s="2"/>
      <c r="F8" s="2"/>
      <c r="G8" s="2"/>
      <c r="H8" s="2"/>
      <c r="I8" s="2"/>
      <c r="J8" s="2"/>
      <c r="K8" s="2"/>
      <c r="L8" s="2"/>
      <c r="M8" s="2"/>
      <c r="N8" s="2"/>
      <c r="O8" s="2"/>
      <c r="P8" s="2"/>
      <c r="R8" s="2"/>
      <c r="V8" s="6" t="s">
        <v>26</v>
      </c>
    </row>
    <row r="9" spans="1:24" x14ac:dyDescent="0.25">
      <c r="A9" s="2" t="s">
        <v>222</v>
      </c>
      <c r="B9" s="2" t="s">
        <v>91</v>
      </c>
      <c r="C9" s="2" t="s">
        <v>60</v>
      </c>
      <c r="D9" s="2" t="s">
        <v>142</v>
      </c>
      <c r="E9" s="2"/>
      <c r="F9" s="2"/>
      <c r="G9" s="2"/>
      <c r="H9" s="2"/>
      <c r="I9" s="2"/>
      <c r="J9" s="2"/>
      <c r="K9" s="2"/>
      <c r="L9" s="2"/>
      <c r="M9" s="2"/>
      <c r="N9" s="2"/>
      <c r="O9" s="2"/>
      <c r="P9" s="2"/>
      <c r="R9" s="2"/>
      <c r="U9" s="2"/>
      <c r="V9" s="6" t="s">
        <v>21</v>
      </c>
    </row>
    <row r="10" spans="1:24" x14ac:dyDescent="0.25">
      <c r="A10" s="2" t="s">
        <v>4</v>
      </c>
      <c r="B10" s="2" t="s">
        <v>34</v>
      </c>
      <c r="C10" s="2" t="s">
        <v>40</v>
      </c>
      <c r="D10" s="2" t="s">
        <v>135</v>
      </c>
      <c r="E10" s="2"/>
      <c r="F10" s="2"/>
      <c r="G10" s="2"/>
      <c r="H10" s="2"/>
      <c r="I10" s="2"/>
      <c r="J10" s="2"/>
      <c r="K10" s="2"/>
      <c r="L10" s="2"/>
      <c r="M10" s="2"/>
      <c r="N10" s="2"/>
      <c r="O10" s="2"/>
      <c r="P10" s="2"/>
      <c r="R10" s="2"/>
      <c r="U10" s="2"/>
      <c r="V10" s="6" t="s">
        <v>22</v>
      </c>
    </row>
    <row r="11" spans="1:24" x14ac:dyDescent="0.25">
      <c r="A11" s="2"/>
      <c r="B11" s="2" t="s">
        <v>35</v>
      </c>
      <c r="C11" s="2" t="s">
        <v>83</v>
      </c>
      <c r="D11" s="2" t="s">
        <v>278</v>
      </c>
      <c r="E11" s="2"/>
      <c r="F11" s="2"/>
      <c r="G11" s="2"/>
      <c r="H11" s="2"/>
      <c r="I11" s="2"/>
      <c r="J11" s="2"/>
      <c r="K11" s="2"/>
      <c r="L11" s="2"/>
      <c r="M11" s="2"/>
      <c r="N11" s="2"/>
      <c r="O11" s="2"/>
      <c r="P11" s="2"/>
      <c r="R11" s="2"/>
      <c r="U11" s="2"/>
      <c r="V11" s="6" t="s">
        <v>23</v>
      </c>
    </row>
    <row r="12" spans="1:24" x14ac:dyDescent="0.25">
      <c r="B12" s="2" t="s">
        <v>36</v>
      </c>
      <c r="C12" s="2" t="s">
        <v>39</v>
      </c>
      <c r="D12" s="2" t="s">
        <v>279</v>
      </c>
      <c r="E12" s="2"/>
      <c r="F12" s="2"/>
      <c r="G12" s="2"/>
      <c r="H12" s="2"/>
      <c r="I12" s="2"/>
      <c r="J12" s="2"/>
      <c r="K12" s="2"/>
      <c r="L12" s="2"/>
      <c r="M12" s="2"/>
      <c r="N12" s="2"/>
      <c r="O12" s="2"/>
      <c r="P12" s="2"/>
      <c r="R12" s="2"/>
      <c r="V12" s="6" t="s">
        <v>97</v>
      </c>
    </row>
    <row r="13" spans="1:24" x14ac:dyDescent="0.25">
      <c r="B13" s="2" t="s">
        <v>37</v>
      </c>
      <c r="C13" s="2" t="s">
        <v>84</v>
      </c>
      <c r="D13" s="2" t="s">
        <v>280</v>
      </c>
      <c r="E13" s="2"/>
      <c r="F13" s="2"/>
      <c r="G13" s="2"/>
      <c r="H13" s="2"/>
      <c r="I13" s="2"/>
      <c r="J13" s="2"/>
      <c r="K13" s="2"/>
      <c r="L13" s="2"/>
      <c r="M13" s="2"/>
      <c r="N13" s="2"/>
      <c r="O13" s="2"/>
      <c r="P13" s="2"/>
      <c r="R13" s="2"/>
      <c r="V13" s="6" t="s">
        <v>96</v>
      </c>
    </row>
    <row r="14" spans="1:24" x14ac:dyDescent="0.25">
      <c r="C14" s="2" t="s">
        <v>51</v>
      </c>
      <c r="D14" s="2" t="s">
        <v>281</v>
      </c>
      <c r="E14" s="2"/>
      <c r="F14" s="2"/>
      <c r="G14" s="2"/>
      <c r="H14" s="2"/>
      <c r="I14" s="2"/>
      <c r="J14" s="2"/>
      <c r="K14" s="2"/>
      <c r="L14" s="2"/>
      <c r="M14" s="2"/>
      <c r="N14" s="2"/>
      <c r="O14" s="2"/>
      <c r="P14" s="2"/>
      <c r="V14" s="6" t="s">
        <v>93</v>
      </c>
    </row>
    <row r="15" spans="1:24" x14ac:dyDescent="0.25">
      <c r="C15" s="2" t="s">
        <v>52</v>
      </c>
      <c r="D15" s="2" t="s">
        <v>125</v>
      </c>
      <c r="E15" s="2"/>
      <c r="F15" s="2"/>
      <c r="G15" s="2"/>
      <c r="H15" s="2"/>
      <c r="I15" s="2"/>
      <c r="J15" s="2"/>
      <c r="K15" s="2"/>
      <c r="L15" s="2"/>
      <c r="M15" s="2"/>
      <c r="N15" s="2"/>
      <c r="O15" s="2"/>
      <c r="P15" s="2"/>
      <c r="V15" s="6"/>
    </row>
    <row r="16" spans="1:24" x14ac:dyDescent="0.25">
      <c r="C16" s="2" t="s">
        <v>57</v>
      </c>
      <c r="D16" s="2" t="s">
        <v>130</v>
      </c>
      <c r="E16" s="2"/>
      <c r="F16" s="2"/>
      <c r="G16" s="2"/>
      <c r="H16" s="2"/>
      <c r="I16" s="2"/>
      <c r="J16" s="2"/>
      <c r="K16" s="2"/>
      <c r="L16" s="2"/>
      <c r="M16" s="2"/>
      <c r="N16" s="2"/>
      <c r="O16" s="2"/>
      <c r="P16" s="2"/>
      <c r="V16" s="6"/>
    </row>
    <row r="17" spans="3:22" x14ac:dyDescent="0.25">
      <c r="C17" s="2" t="s">
        <v>69</v>
      </c>
      <c r="D17" s="2" t="s">
        <v>124</v>
      </c>
      <c r="E17" s="2"/>
      <c r="F17" s="2"/>
      <c r="G17" s="2"/>
      <c r="H17" s="2"/>
      <c r="I17" s="2"/>
      <c r="J17" s="2"/>
      <c r="K17" s="2"/>
      <c r="L17" s="2"/>
      <c r="M17" s="2"/>
      <c r="N17" s="2"/>
      <c r="O17" s="2"/>
      <c r="P17" s="2"/>
      <c r="V17" s="6"/>
    </row>
    <row r="18" spans="3:22" x14ac:dyDescent="0.25">
      <c r="C18" s="2" t="s">
        <v>47</v>
      </c>
      <c r="D18" s="2" t="s">
        <v>121</v>
      </c>
      <c r="E18" s="2"/>
      <c r="F18" s="2"/>
      <c r="G18" s="2"/>
      <c r="H18" s="2"/>
      <c r="I18" s="2"/>
      <c r="J18" s="2"/>
      <c r="K18" s="2"/>
      <c r="L18" s="2"/>
      <c r="M18" s="2"/>
      <c r="N18" s="2"/>
      <c r="O18" s="2"/>
      <c r="P18" s="2"/>
    </row>
    <row r="19" spans="3:22" x14ac:dyDescent="0.25">
      <c r="C19" s="2" t="s">
        <v>72</v>
      </c>
      <c r="D19" s="2" t="s">
        <v>129</v>
      </c>
      <c r="E19" s="2"/>
      <c r="F19" s="2"/>
      <c r="G19" s="2"/>
      <c r="H19" s="2"/>
      <c r="I19" s="2"/>
      <c r="J19" s="2"/>
      <c r="K19" s="2"/>
      <c r="L19" s="2"/>
      <c r="M19" s="2"/>
      <c r="N19" s="2"/>
      <c r="O19" s="2"/>
      <c r="P19" s="2"/>
    </row>
    <row r="20" spans="3:22" x14ac:dyDescent="0.25">
      <c r="C20" s="2" t="s">
        <v>73</v>
      </c>
      <c r="D20" s="2" t="s">
        <v>118</v>
      </c>
      <c r="E20" s="2"/>
      <c r="F20" s="2"/>
      <c r="G20" s="2"/>
      <c r="H20" s="2"/>
      <c r="I20" s="2"/>
      <c r="J20" s="2"/>
      <c r="K20" s="2"/>
      <c r="L20" s="2"/>
      <c r="M20" s="2"/>
      <c r="N20" s="2"/>
      <c r="O20" s="2"/>
      <c r="P20" s="2"/>
    </row>
    <row r="21" spans="3:22" x14ac:dyDescent="0.25">
      <c r="C21" s="2" t="s">
        <v>67</v>
      </c>
      <c r="D21" s="2" t="s">
        <v>138</v>
      </c>
      <c r="E21" s="2"/>
      <c r="F21" s="2"/>
      <c r="G21" s="2"/>
      <c r="H21" s="2"/>
      <c r="I21" s="2"/>
      <c r="J21" s="2"/>
      <c r="K21" s="2"/>
      <c r="L21" s="2"/>
      <c r="M21" s="2"/>
      <c r="N21" s="2"/>
      <c r="O21" s="2"/>
      <c r="P21" s="2"/>
    </row>
    <row r="22" spans="3:22" x14ac:dyDescent="0.25">
      <c r="C22" s="2" t="s">
        <v>53</v>
      </c>
      <c r="D22" s="2" t="s">
        <v>92</v>
      </c>
      <c r="E22" s="2"/>
      <c r="F22" s="2"/>
      <c r="G22" s="2"/>
      <c r="H22" s="2"/>
      <c r="I22" s="2"/>
      <c r="J22" s="2"/>
      <c r="K22" s="2"/>
      <c r="L22" s="2"/>
      <c r="M22" s="2"/>
      <c r="N22" s="2"/>
      <c r="O22" s="2"/>
      <c r="P22" s="2"/>
    </row>
    <row r="23" spans="3:22" x14ac:dyDescent="0.25">
      <c r="C23" s="2" t="s">
        <v>74</v>
      </c>
      <c r="D23" s="2" t="s">
        <v>126</v>
      </c>
      <c r="E23" s="2"/>
      <c r="F23" s="2"/>
      <c r="G23" s="2"/>
      <c r="H23" s="2"/>
      <c r="I23" s="2"/>
      <c r="J23" s="2"/>
      <c r="K23" s="2"/>
      <c r="L23" s="2"/>
      <c r="M23" s="2"/>
      <c r="N23" s="2"/>
      <c r="O23" s="2"/>
      <c r="P23" s="2"/>
    </row>
    <row r="24" spans="3:22" x14ac:dyDescent="0.25">
      <c r="C24" s="2" t="s">
        <v>75</v>
      </c>
      <c r="D24" s="2" t="s">
        <v>122</v>
      </c>
      <c r="E24" s="2"/>
      <c r="F24" s="2"/>
      <c r="G24" s="2"/>
      <c r="H24" s="2"/>
      <c r="I24" s="2"/>
      <c r="J24" s="2"/>
      <c r="K24" s="2"/>
      <c r="L24" s="2"/>
      <c r="M24" s="2"/>
      <c r="N24" s="2"/>
      <c r="O24" s="2"/>
      <c r="P24" s="2"/>
    </row>
    <row r="25" spans="3:22" x14ac:dyDescent="0.25">
      <c r="C25" s="2" t="s">
        <v>70</v>
      </c>
      <c r="D25" s="2" t="s">
        <v>185</v>
      </c>
      <c r="E25" s="2"/>
      <c r="F25" s="2"/>
      <c r="G25" s="2"/>
      <c r="H25" s="2"/>
      <c r="I25" s="2"/>
      <c r="J25" s="2"/>
      <c r="K25" s="2"/>
      <c r="L25" s="2"/>
      <c r="M25" s="2"/>
      <c r="N25" s="2"/>
      <c r="O25" s="2"/>
      <c r="P25" s="2"/>
    </row>
    <row r="26" spans="3:22" x14ac:dyDescent="0.25">
      <c r="C26" s="2" t="s">
        <v>48</v>
      </c>
      <c r="D26" s="2" t="s">
        <v>139</v>
      </c>
      <c r="E26" s="2"/>
      <c r="F26" s="2"/>
      <c r="G26" s="2"/>
      <c r="H26" s="2"/>
      <c r="I26" s="2"/>
      <c r="J26" s="2"/>
      <c r="K26" s="2"/>
      <c r="L26" s="2"/>
      <c r="M26" s="2"/>
      <c r="N26" s="2"/>
      <c r="O26" s="2"/>
      <c r="P26" s="2"/>
    </row>
    <row r="27" spans="3:22" x14ac:dyDescent="0.25">
      <c r="C27" s="2" t="s">
        <v>90</v>
      </c>
      <c r="D27" s="2" t="s">
        <v>143</v>
      </c>
      <c r="E27" s="2"/>
      <c r="F27" s="2"/>
      <c r="G27" s="2"/>
      <c r="H27" s="2"/>
      <c r="I27" s="2"/>
      <c r="J27" s="2"/>
      <c r="K27" s="2"/>
      <c r="L27" s="2"/>
      <c r="M27" s="2"/>
      <c r="N27" s="2"/>
      <c r="O27" s="2"/>
      <c r="P27" s="2"/>
    </row>
    <row r="28" spans="3:22" x14ac:dyDescent="0.25">
      <c r="C28" s="2" t="s">
        <v>64</v>
      </c>
      <c r="D28" s="2" t="s">
        <v>131</v>
      </c>
      <c r="E28" s="2"/>
      <c r="F28" s="2"/>
      <c r="G28" s="2"/>
      <c r="H28" s="2"/>
      <c r="I28" s="2"/>
      <c r="J28" s="2"/>
      <c r="K28" s="2"/>
      <c r="L28" s="2"/>
      <c r="M28" s="2"/>
      <c r="N28" s="2"/>
      <c r="O28" s="2"/>
      <c r="P28" s="2"/>
    </row>
    <row r="29" spans="3:22" x14ac:dyDescent="0.25">
      <c r="C29" s="2" t="s">
        <v>76</v>
      </c>
      <c r="D29" s="2" t="s">
        <v>132</v>
      </c>
      <c r="E29" s="2"/>
      <c r="F29" s="2"/>
      <c r="G29" s="2"/>
      <c r="H29" s="2"/>
      <c r="I29" s="2"/>
      <c r="J29" s="2"/>
      <c r="K29" s="2"/>
      <c r="L29" s="2"/>
      <c r="M29" s="2"/>
      <c r="N29" s="2"/>
      <c r="O29" s="2"/>
      <c r="P29" s="2"/>
    </row>
    <row r="30" spans="3:22" x14ac:dyDescent="0.25">
      <c r="C30" s="2" t="s">
        <v>43</v>
      </c>
      <c r="D30" s="2" t="s">
        <v>141</v>
      </c>
      <c r="E30" s="2"/>
      <c r="F30" s="2"/>
      <c r="G30" s="2"/>
      <c r="H30" s="2"/>
      <c r="I30" s="2"/>
      <c r="J30" s="2"/>
      <c r="K30" s="2"/>
      <c r="L30" s="2"/>
      <c r="M30" s="2"/>
      <c r="N30" s="2"/>
      <c r="O30" s="2"/>
      <c r="P30" s="2"/>
    </row>
    <row r="31" spans="3:22" x14ac:dyDescent="0.25">
      <c r="C31" s="2" t="s">
        <v>85</v>
      </c>
      <c r="D31" s="2"/>
      <c r="E31" s="2"/>
      <c r="F31" s="2"/>
      <c r="G31" s="2"/>
      <c r="H31" s="2"/>
      <c r="I31" s="2"/>
      <c r="J31" s="2"/>
      <c r="K31" s="2"/>
      <c r="L31" s="2"/>
      <c r="M31" s="2"/>
      <c r="N31" s="2"/>
      <c r="O31" s="2"/>
      <c r="P31" s="2"/>
    </row>
    <row r="32" spans="3:22" x14ac:dyDescent="0.25">
      <c r="C32" s="2" t="s">
        <v>45</v>
      </c>
      <c r="D32" s="2"/>
      <c r="E32" s="2"/>
      <c r="F32" s="2"/>
      <c r="G32" s="2"/>
      <c r="H32" s="2"/>
      <c r="I32" s="2"/>
      <c r="J32" s="2"/>
      <c r="K32" s="2"/>
      <c r="L32" s="2"/>
      <c r="M32" s="2"/>
      <c r="N32" s="2"/>
      <c r="O32" s="2"/>
      <c r="P32" s="2"/>
    </row>
    <row r="33" spans="3:16" x14ac:dyDescent="0.25">
      <c r="C33" s="2" t="s">
        <v>58</v>
      </c>
      <c r="D33" s="2"/>
      <c r="E33" s="2"/>
      <c r="F33" s="2"/>
      <c r="G33" s="2"/>
      <c r="H33" s="2"/>
      <c r="I33" s="2"/>
      <c r="J33" s="2"/>
      <c r="K33" s="2"/>
      <c r="L33" s="2"/>
      <c r="M33" s="2"/>
      <c r="N33" s="2"/>
      <c r="O33" s="2"/>
      <c r="P33" s="2"/>
    </row>
    <row r="34" spans="3:16" x14ac:dyDescent="0.25">
      <c r="C34" s="2" t="s">
        <v>89</v>
      </c>
      <c r="D34" s="2"/>
      <c r="E34" s="2"/>
      <c r="F34" s="2"/>
      <c r="G34" s="2"/>
      <c r="H34" s="2"/>
      <c r="I34" s="2"/>
      <c r="J34" s="2"/>
      <c r="K34" s="2"/>
      <c r="L34" s="2"/>
      <c r="M34" s="2"/>
      <c r="N34" s="2"/>
      <c r="O34" s="2"/>
      <c r="P34" s="2"/>
    </row>
    <row r="35" spans="3:16" x14ac:dyDescent="0.25">
      <c r="C35" s="2" t="s">
        <v>77</v>
      </c>
      <c r="D35" s="2"/>
      <c r="E35" s="2"/>
      <c r="F35" s="2"/>
      <c r="G35" s="2"/>
      <c r="H35" s="2"/>
      <c r="I35" s="2"/>
      <c r="J35" s="2"/>
      <c r="K35" s="2"/>
      <c r="L35" s="2"/>
      <c r="M35" s="2"/>
      <c r="N35" s="2"/>
      <c r="O35" s="2"/>
      <c r="P35" s="2"/>
    </row>
    <row r="36" spans="3:16" x14ac:dyDescent="0.25">
      <c r="C36" s="2" t="s">
        <v>61</v>
      </c>
      <c r="D36" s="2"/>
      <c r="E36" s="2"/>
      <c r="F36" s="2"/>
      <c r="G36" s="2"/>
      <c r="H36" s="2"/>
      <c r="I36" s="2"/>
      <c r="J36" s="2"/>
      <c r="K36" s="2"/>
      <c r="L36" s="2"/>
      <c r="M36" s="2"/>
      <c r="N36" s="2"/>
      <c r="O36" s="2"/>
      <c r="P36" s="2"/>
    </row>
    <row r="37" spans="3:16" x14ac:dyDescent="0.25">
      <c r="C37" s="2" t="s">
        <v>81</v>
      </c>
      <c r="D37" s="2"/>
      <c r="E37" s="2"/>
      <c r="F37" s="2"/>
      <c r="G37" s="2"/>
      <c r="H37" s="2"/>
      <c r="I37" s="2"/>
      <c r="J37" s="2"/>
      <c r="K37" s="2"/>
      <c r="L37" s="2"/>
      <c r="M37" s="2"/>
      <c r="N37" s="2"/>
      <c r="O37" s="2"/>
      <c r="P37" s="2"/>
    </row>
    <row r="38" spans="3:16" x14ac:dyDescent="0.25">
      <c r="C38" s="2" t="s">
        <v>42</v>
      </c>
      <c r="D38" s="2"/>
      <c r="E38" s="2"/>
      <c r="F38" s="2"/>
      <c r="G38" s="2"/>
      <c r="H38" s="2"/>
      <c r="I38" s="2"/>
      <c r="J38" s="2"/>
      <c r="K38" s="2"/>
      <c r="L38" s="2"/>
      <c r="M38" s="2"/>
      <c r="N38" s="2"/>
      <c r="O38" s="2"/>
      <c r="P38" s="2"/>
    </row>
    <row r="39" spans="3:16" x14ac:dyDescent="0.25">
      <c r="C39" s="2" t="s">
        <v>63</v>
      </c>
      <c r="D39" s="2"/>
      <c r="E39" s="2"/>
      <c r="F39" s="2"/>
      <c r="G39" s="2"/>
      <c r="H39" s="2"/>
      <c r="I39" s="2"/>
      <c r="J39" s="2"/>
      <c r="K39" s="2"/>
      <c r="L39" s="2"/>
      <c r="M39" s="2"/>
      <c r="N39" s="2"/>
      <c r="O39" s="2"/>
      <c r="P39" s="2"/>
    </row>
    <row r="40" spans="3:16" x14ac:dyDescent="0.25">
      <c r="C40" s="2" t="s">
        <v>62</v>
      </c>
      <c r="D40" s="2"/>
      <c r="E40" s="2"/>
      <c r="F40" s="2"/>
      <c r="G40" s="2"/>
      <c r="H40" s="2"/>
      <c r="I40" s="2"/>
      <c r="J40" s="2"/>
      <c r="K40" s="2"/>
      <c r="L40" s="2"/>
      <c r="M40" s="2"/>
      <c r="N40" s="2"/>
      <c r="O40" s="2"/>
      <c r="P40" s="2"/>
    </row>
    <row r="41" spans="3:16" x14ac:dyDescent="0.25">
      <c r="C41" s="2" t="s">
        <v>88</v>
      </c>
      <c r="D41" s="2"/>
      <c r="E41" s="2"/>
      <c r="F41" s="2"/>
      <c r="G41" s="2"/>
      <c r="H41" s="2"/>
      <c r="I41" s="2"/>
      <c r="J41" s="2"/>
      <c r="K41" s="2"/>
      <c r="L41" s="2"/>
      <c r="M41" s="2"/>
      <c r="N41" s="2"/>
      <c r="O41" s="2"/>
      <c r="P41" s="2"/>
    </row>
    <row r="42" spans="3:16" x14ac:dyDescent="0.25">
      <c r="C42" s="2" t="s">
        <v>87</v>
      </c>
      <c r="D42" s="2"/>
      <c r="E42" s="2"/>
      <c r="F42" s="2"/>
      <c r="G42" s="2"/>
      <c r="H42" s="2"/>
      <c r="I42" s="2"/>
      <c r="J42" s="2"/>
      <c r="K42" s="2"/>
      <c r="L42" s="2"/>
      <c r="M42" s="2"/>
      <c r="N42" s="2"/>
      <c r="O42" s="2"/>
      <c r="P42" s="2"/>
    </row>
    <row r="43" spans="3:16" x14ac:dyDescent="0.25">
      <c r="C43" s="2" t="s">
        <v>54</v>
      </c>
      <c r="D43" s="2"/>
      <c r="E43" s="2"/>
      <c r="F43" s="2"/>
      <c r="G43" s="2"/>
      <c r="H43" s="2"/>
      <c r="I43" s="2"/>
      <c r="J43" s="2"/>
      <c r="K43" s="2"/>
      <c r="L43" s="2"/>
      <c r="M43" s="2"/>
      <c r="N43" s="2"/>
      <c r="O43" s="2"/>
      <c r="P43" s="2"/>
    </row>
    <row r="44" spans="3:16" x14ac:dyDescent="0.25">
      <c r="C44" s="2" t="s">
        <v>59</v>
      </c>
      <c r="D44" s="2"/>
      <c r="E44" s="2"/>
      <c r="F44" s="2"/>
      <c r="G44" s="2"/>
      <c r="H44" s="2"/>
      <c r="I44" s="2"/>
      <c r="J44" s="2"/>
      <c r="K44" s="2"/>
      <c r="L44" s="2"/>
      <c r="M44" s="2"/>
      <c r="N44" s="2"/>
      <c r="O44" s="2"/>
      <c r="P44" s="2"/>
    </row>
    <row r="45" spans="3:16" x14ac:dyDescent="0.25">
      <c r="C45" s="2" t="s">
        <v>44</v>
      </c>
      <c r="D45" s="2"/>
      <c r="E45" s="2"/>
      <c r="F45" s="2"/>
      <c r="G45" s="2"/>
      <c r="H45" s="2"/>
      <c r="I45" s="2"/>
      <c r="J45" s="2"/>
      <c r="K45" s="2"/>
      <c r="L45" s="2"/>
      <c r="M45" s="2"/>
      <c r="N45" s="2"/>
      <c r="O45" s="2"/>
      <c r="P45" s="2"/>
    </row>
    <row r="46" spans="3:16" x14ac:dyDescent="0.25">
      <c r="C46" s="2" t="s">
        <v>50</v>
      </c>
      <c r="D46" s="2"/>
      <c r="E46" s="2"/>
      <c r="F46" s="2"/>
      <c r="G46" s="2"/>
      <c r="H46" s="2"/>
      <c r="I46" s="2"/>
      <c r="J46" s="2"/>
      <c r="K46" s="2"/>
      <c r="L46" s="2"/>
      <c r="M46" s="2"/>
      <c r="N46" s="2"/>
      <c r="O46" s="2"/>
      <c r="P46" s="2"/>
    </row>
    <row r="47" spans="3:16" x14ac:dyDescent="0.25">
      <c r="C47" s="2" t="s">
        <v>78</v>
      </c>
      <c r="D47" s="2"/>
      <c r="E47" s="2"/>
      <c r="F47" s="2"/>
      <c r="G47" s="2"/>
      <c r="H47" s="2"/>
      <c r="I47" s="2"/>
      <c r="J47" s="2"/>
      <c r="K47" s="2"/>
      <c r="L47" s="2"/>
      <c r="M47" s="2"/>
      <c r="N47" s="2"/>
      <c r="O47" s="2"/>
      <c r="P47" s="2"/>
    </row>
    <row r="48" spans="3:16" x14ac:dyDescent="0.25">
      <c r="C48" s="2" t="s">
        <v>55</v>
      </c>
      <c r="D48" s="2"/>
      <c r="E48" s="2"/>
      <c r="F48" s="2"/>
      <c r="G48" s="2"/>
      <c r="H48" s="2"/>
      <c r="I48" s="2"/>
      <c r="J48" s="2"/>
      <c r="K48" s="2"/>
      <c r="L48" s="2"/>
      <c r="M48" s="2"/>
      <c r="N48" s="2"/>
      <c r="O48" s="2"/>
      <c r="P48" s="2"/>
    </row>
    <row r="49" spans="3:16" x14ac:dyDescent="0.25">
      <c r="C49" s="2" t="s">
        <v>27</v>
      </c>
      <c r="D49" s="2"/>
      <c r="E49" s="2"/>
      <c r="F49" s="2"/>
      <c r="G49" s="2"/>
      <c r="H49" s="2"/>
      <c r="I49" s="2"/>
      <c r="J49" s="2"/>
      <c r="K49" s="2"/>
      <c r="L49" s="2"/>
      <c r="M49" s="2"/>
      <c r="N49" s="2"/>
      <c r="O49" s="2"/>
      <c r="P49" s="2"/>
    </row>
    <row r="50" spans="3:16" x14ac:dyDescent="0.25">
      <c r="C50" s="2" t="s">
        <v>86</v>
      </c>
      <c r="D50" s="2"/>
      <c r="E50" s="2"/>
      <c r="F50" s="2"/>
      <c r="G50" s="2"/>
      <c r="H50" s="2"/>
      <c r="I50" s="2"/>
      <c r="J50" s="2"/>
      <c r="K50" s="2"/>
      <c r="L50" s="2"/>
      <c r="M50" s="2"/>
      <c r="N50" s="2"/>
      <c r="O50" s="2"/>
      <c r="P50" s="2"/>
    </row>
    <row r="51" spans="3:16" x14ac:dyDescent="0.25">
      <c r="C51" s="2" t="s">
        <v>80</v>
      </c>
      <c r="D51" s="2"/>
      <c r="E51" s="2"/>
      <c r="F51" s="2"/>
      <c r="G51" s="2"/>
      <c r="H51" s="2"/>
      <c r="I51" s="2"/>
      <c r="J51" s="2"/>
      <c r="K51" s="2"/>
      <c r="L51" s="2"/>
      <c r="M51" s="2"/>
      <c r="N51" s="2"/>
      <c r="O51" s="2"/>
      <c r="P51" s="2"/>
    </row>
    <row r="52" spans="3:16" x14ac:dyDescent="0.25">
      <c r="C52" s="2" t="s">
        <v>79</v>
      </c>
      <c r="D52" s="2"/>
      <c r="F52" s="2"/>
      <c r="G52" s="2"/>
      <c r="H52" s="2"/>
      <c r="I52" s="2"/>
      <c r="J52" s="2"/>
      <c r="K52" s="2"/>
      <c r="L52" s="2"/>
      <c r="M52" s="2"/>
      <c r="N52" s="2"/>
      <c r="O52" s="2"/>
      <c r="P52" s="2"/>
    </row>
    <row r="53" spans="3:16" x14ac:dyDescent="0.25">
      <c r="C53" s="2" t="s">
        <v>46</v>
      </c>
      <c r="D53" s="2"/>
      <c r="F53" s="2"/>
      <c r="G53" s="2"/>
      <c r="H53" s="2"/>
      <c r="I53" s="2"/>
      <c r="J53" s="2"/>
      <c r="K53" s="2"/>
      <c r="L53" s="2"/>
      <c r="M53" s="2"/>
      <c r="N53" s="2"/>
      <c r="O53" s="2"/>
      <c r="P53" s="2"/>
    </row>
    <row r="54" spans="3:16" x14ac:dyDescent="0.25">
      <c r="C54" s="2" t="s">
        <v>71</v>
      </c>
      <c r="F54" s="2"/>
      <c r="G54" s="2"/>
      <c r="H54" s="2"/>
      <c r="I54" s="2"/>
      <c r="J54" s="2"/>
      <c r="K54" s="2"/>
      <c r="L54" s="2"/>
      <c r="M54" s="2"/>
      <c r="N54" s="2"/>
      <c r="O54" s="2"/>
      <c r="P54" s="2"/>
    </row>
  </sheetData>
  <sortState xmlns:xlrd2="http://schemas.microsoft.com/office/spreadsheetml/2017/richdata2" ref="E2:E52">
    <sortCondition ref="E2:E5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EFA695CFA5234BB287DC5E36078814" ma:contentTypeVersion="14" ma:contentTypeDescription="Create a new document." ma:contentTypeScope="" ma:versionID="3582ce35f46f035ae7dfd6505e402c05">
  <xsd:schema xmlns:xsd="http://www.w3.org/2001/XMLSchema" xmlns:xs="http://www.w3.org/2001/XMLSchema" xmlns:p="http://schemas.microsoft.com/office/2006/metadata/properties" xmlns:ns2="f5843ced-f5ce-4470-9424-1394ee6d3bcc" xmlns:ns3="ff24349b-2c1d-458e-b8a3-f1a26dbb529b" targetNamespace="http://schemas.microsoft.com/office/2006/metadata/properties" ma:root="true" ma:fieldsID="57505df04c5da0836e415f8e7dd16cb7" ns2:_="" ns3:_="">
    <xsd:import namespace="f5843ced-f5ce-4470-9424-1394ee6d3bcc"/>
    <xsd:import namespace="ff24349b-2c1d-458e-b8a3-f1a26dbb5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43ced-f5ce-4470-9424-1394ee6d3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5cd427-a42c-44c8-816a-2405638e27c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24349b-2c1d-458e-b8a3-f1a26dbb529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d81e03-e07f-4181-bf0f-a1c09026ba71}" ma:internalName="TaxCatchAll" ma:showField="CatchAllData" ma:web="ff24349b-2c1d-458e-b8a3-f1a26dbb529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f24349b-2c1d-458e-b8a3-f1a26dbb529b">
      <UserInfo>
        <DisplayName>Shinkins, Bethany</DisplayName>
        <AccountId>24</AccountId>
        <AccountType/>
      </UserInfo>
      <UserInfo>
        <DisplayName>Stinton, Chris</DisplayName>
        <AccountId>14</AccountId>
        <AccountType/>
      </UserInfo>
      <UserInfo>
        <DisplayName>Freeman, Karoline</DisplayName>
        <AccountId>12</AccountId>
        <AccountType/>
      </UserInfo>
      <UserInfo>
        <DisplayName>Taylor-Phillips, Sian</DisplayName>
        <AccountId>30</AccountId>
        <AccountType/>
      </UserInfo>
      <UserInfo>
        <DisplayName>Williams, Hannah</DisplayName>
        <AccountId>9</AccountId>
        <AccountType/>
      </UserInfo>
      <UserInfo>
        <DisplayName>Geppert, Julia</DisplayName>
        <AccountId>13</AccountId>
        <AccountType/>
      </UserInfo>
    </SharedWithUsers>
    <lcf76f155ced4ddcb4097134ff3c332f xmlns="f5843ced-f5ce-4470-9424-1394ee6d3bcc">
      <Terms xmlns="http://schemas.microsoft.com/office/infopath/2007/PartnerControls"/>
    </lcf76f155ced4ddcb4097134ff3c332f>
    <TaxCatchAll xmlns="ff24349b-2c1d-458e-b8a3-f1a26dbb529b" xsi:nil="true"/>
  </documentManagement>
</p:properties>
</file>

<file path=customXml/itemProps1.xml><?xml version="1.0" encoding="utf-8"?>
<ds:datastoreItem xmlns:ds="http://schemas.openxmlformats.org/officeDocument/2006/customXml" ds:itemID="{93D76691-97A1-4BE2-9814-145E2F60D2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43ced-f5ce-4470-9424-1394ee6d3bcc"/>
    <ds:schemaRef ds:uri="ff24349b-2c1d-458e-b8a3-f1a26dbb52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D23426-F10B-4B1D-BFC2-1A832C9FF659}">
  <ds:schemaRefs>
    <ds:schemaRef ds:uri="http://schemas.microsoft.com/sharepoint/v3/contenttype/forms"/>
  </ds:schemaRefs>
</ds:datastoreItem>
</file>

<file path=customXml/itemProps3.xml><?xml version="1.0" encoding="utf-8"?>
<ds:datastoreItem xmlns:ds="http://schemas.openxmlformats.org/officeDocument/2006/customXml" ds:itemID="{142A5938-FC79-43E2-9F1A-A6A79E27FBB9}">
  <ds:schemaRefs>
    <ds:schemaRef ds:uri="http://schemas.microsoft.com/office/2006/metadata/properties"/>
    <ds:schemaRef ds:uri="http://schemas.microsoft.com/office/infopath/2007/PartnerControls"/>
    <ds:schemaRef ds:uri="ff24349b-2c1d-458e-b8a3-f1a26dbb529b"/>
    <ds:schemaRef ds:uri="f5843ced-f5ce-4470-9424-1394ee6d3b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Master_RoB2</vt:lpstr>
      <vt:lpstr>RoB2 guidance</vt:lpstr>
      <vt:lpstr>Dropdown lists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Geppert, Julia</dc:creator>
  <cp:lastModifiedBy>Nefeli Kouppa</cp:lastModifiedBy>
  <dcterms:created xsi:type="dcterms:W3CDTF">2023-01-27T12:33:09Z</dcterms:created>
  <dcterms:modified xsi:type="dcterms:W3CDTF">2024-05-21T11:00:39Z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0x0101009CEFA695CFA5234BB287DC5E36078814</vt:lpwstr>
  </property>
</Properties>
</file>